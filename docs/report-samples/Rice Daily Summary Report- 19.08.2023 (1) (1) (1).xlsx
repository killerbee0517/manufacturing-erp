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G DRIVE DATAS\ERP SAP\"/>
    </mc:Choice>
  </mc:AlternateContent>
  <bookViews>
    <workbookView xWindow="0" yWindow="0" windowWidth="7470" windowHeight="2760"/>
  </bookViews>
  <sheets>
    <sheet name="18.08.2023" sheetId="22" r:id="rId1"/>
    <sheet name="17.08.2023" sheetId="21" r:id="rId2"/>
    <sheet name="16.08.2023" sheetId="20" r:id="rId3"/>
    <sheet name="15.08.2023" sheetId="19" r:id="rId4"/>
    <sheet name="13.8-14.08.2023" sheetId="18" r:id="rId5"/>
    <sheet name="12.08.2023" sheetId="16" r:id="rId6"/>
    <sheet name="11.08.2023" sheetId="15" r:id="rId7"/>
    <sheet name="10.08.2023" sheetId="14" r:id="rId8"/>
    <sheet name="09.08.2023" sheetId="13" r:id="rId9"/>
    <sheet name="08.08.2023" sheetId="12" r:id="rId10"/>
    <sheet name="07.08.2023" sheetId="11" r:id="rId11"/>
    <sheet name="05.08.2023" sheetId="10" r:id="rId12"/>
    <sheet name="04.08.2023" sheetId="9" r:id="rId13"/>
    <sheet name="03.08.2023" sheetId="8" r:id="rId14"/>
    <sheet name="02.08.2023" sheetId="7" r:id="rId15"/>
    <sheet name="01.08.2023" sheetId="4" r:id="rId16"/>
    <sheet name="31.07.2023" sheetId="3" r:id="rId17"/>
    <sheet name="29.07.2023" sheetId="2" r:id="rId18"/>
    <sheet name="28.07.2023" sheetId="1" r:id="rId19"/>
  </sheets>
  <calcPr calcId="152511"/>
</workbook>
</file>

<file path=xl/calcChain.xml><?xml version="1.0" encoding="utf-8"?>
<calcChain xmlns="http://schemas.openxmlformats.org/spreadsheetml/2006/main">
  <c r="M55" i="22" l="1"/>
  <c r="M57" i="22" s="1"/>
  <c r="E52" i="22"/>
  <c r="K37" i="22"/>
  <c r="R34" i="22"/>
  <c r="Q34" i="22"/>
  <c r="K34" i="22"/>
  <c r="M55" i="21"/>
  <c r="M57" i="21" s="1"/>
  <c r="E52" i="21"/>
  <c r="K37" i="21"/>
  <c r="R34" i="21"/>
  <c r="Q34" i="21"/>
  <c r="K34" i="21"/>
  <c r="M55" i="20"/>
  <c r="M57" i="20" s="1"/>
  <c r="E52" i="20"/>
  <c r="K37" i="20"/>
  <c r="R34" i="20"/>
  <c r="Q34" i="20"/>
  <c r="K34" i="20"/>
  <c r="M55" i="19"/>
  <c r="M57" i="19" s="1"/>
  <c r="E52" i="19"/>
  <c r="K37" i="19"/>
  <c r="R34" i="19"/>
  <c r="Q34" i="19"/>
  <c r="K34" i="19"/>
  <c r="M55" i="18"/>
  <c r="M57" i="18" s="1"/>
  <c r="E52" i="18"/>
  <c r="K37" i="18"/>
  <c r="R34" i="18"/>
  <c r="Q34" i="18"/>
  <c r="K34" i="18"/>
  <c r="M55" i="16"/>
  <c r="M57" i="16" s="1"/>
  <c r="E52" i="16"/>
  <c r="K37" i="16"/>
  <c r="R34" i="16"/>
  <c r="Q34" i="16"/>
  <c r="K34" i="16"/>
  <c r="M55" i="15"/>
  <c r="M57" i="15" s="1"/>
  <c r="E52" i="15"/>
  <c r="K37" i="15"/>
  <c r="W34" i="15"/>
  <c r="T34" i="15"/>
  <c r="S34" i="15"/>
  <c r="R34" i="15"/>
  <c r="Q34" i="15"/>
  <c r="K34" i="15"/>
  <c r="M55" i="14"/>
  <c r="M57" i="14" s="1"/>
  <c r="E52" i="14"/>
  <c r="K37" i="14"/>
  <c r="W34" i="14"/>
  <c r="T34" i="14"/>
  <c r="S34" i="14"/>
  <c r="R34" i="14"/>
  <c r="Q34" i="14"/>
  <c r="K34" i="14"/>
  <c r="M55" i="13"/>
  <c r="M57" i="13" s="1"/>
  <c r="E52" i="13"/>
  <c r="K37" i="13"/>
  <c r="W34" i="13"/>
  <c r="T34" i="13"/>
  <c r="S34" i="13"/>
  <c r="R34" i="13"/>
  <c r="Q34" i="13"/>
  <c r="K34" i="13"/>
  <c r="M55" i="12" l="1"/>
  <c r="M57" i="12" s="1"/>
  <c r="E52" i="12"/>
  <c r="K37" i="12"/>
  <c r="W34" i="12"/>
  <c r="T34" i="12"/>
  <c r="S34" i="12"/>
  <c r="R34" i="12"/>
  <c r="Q34" i="12"/>
  <c r="K34" i="12"/>
  <c r="M55" i="11"/>
  <c r="M57" i="11" s="1"/>
  <c r="E52" i="11"/>
  <c r="K37" i="11"/>
  <c r="T34" i="11"/>
  <c r="S34" i="11"/>
  <c r="R34" i="11"/>
  <c r="Q34" i="11"/>
  <c r="K34" i="11"/>
  <c r="M55" i="10"/>
  <c r="M57" i="10" s="1"/>
  <c r="E52" i="10"/>
  <c r="K37" i="10"/>
  <c r="W34" i="10"/>
  <c r="T34" i="10"/>
  <c r="S34" i="10"/>
  <c r="R34" i="10"/>
  <c r="Q34" i="10"/>
  <c r="K34" i="10"/>
  <c r="M55" i="9"/>
  <c r="M57" i="9" s="1"/>
  <c r="E52" i="9"/>
  <c r="K37" i="9"/>
  <c r="W34" i="9"/>
  <c r="T34" i="9"/>
  <c r="S34" i="9"/>
  <c r="R34" i="9"/>
  <c r="Q34" i="9"/>
  <c r="K34" i="9"/>
  <c r="M55" i="8"/>
  <c r="M57" i="8" s="1"/>
  <c r="E52" i="8"/>
  <c r="K37" i="8"/>
  <c r="W34" i="8"/>
  <c r="T34" i="8"/>
  <c r="S34" i="8"/>
  <c r="R34" i="8"/>
  <c r="Q34" i="8"/>
  <c r="K34" i="8"/>
  <c r="M55" i="7"/>
  <c r="M57" i="7" s="1"/>
  <c r="E52" i="7"/>
  <c r="K37" i="7"/>
  <c r="W34" i="7"/>
  <c r="T34" i="7"/>
  <c r="S34" i="7"/>
  <c r="R34" i="7"/>
  <c r="Q34" i="7"/>
  <c r="K34" i="7"/>
  <c r="M55" i="4"/>
  <c r="M57" i="4" s="1"/>
  <c r="E52" i="4"/>
  <c r="K37" i="4"/>
  <c r="W34" i="4"/>
  <c r="T34" i="4"/>
  <c r="S34" i="4"/>
  <c r="R34" i="4"/>
  <c r="Q34" i="4"/>
  <c r="K34" i="4"/>
  <c r="M55" i="3"/>
  <c r="M57" i="3" s="1"/>
  <c r="E52" i="3"/>
  <c r="K37" i="3"/>
  <c r="W34" i="3"/>
  <c r="T34" i="3"/>
  <c r="S34" i="3"/>
  <c r="R34" i="3"/>
  <c r="Q34" i="3"/>
  <c r="K34" i="3"/>
  <c r="M55" i="2"/>
  <c r="M57" i="2" s="1"/>
  <c r="E52" i="2"/>
  <c r="K37" i="2"/>
  <c r="W34" i="2"/>
  <c r="T34" i="2"/>
  <c r="S34" i="2"/>
  <c r="R34" i="2"/>
  <c r="Q34" i="2"/>
  <c r="K34" i="2"/>
  <c r="M55" i="1"/>
  <c r="M57" i="1" s="1"/>
  <c r="E52" i="1"/>
  <c r="K37" i="1"/>
  <c r="W34" i="1"/>
  <c r="T34" i="1"/>
  <c r="S34" i="1"/>
  <c r="R34" i="1"/>
  <c r="Q34" i="1"/>
  <c r="K34" i="1"/>
</calcChain>
</file>

<file path=xl/sharedStrings.xml><?xml version="1.0" encoding="utf-8"?>
<sst xmlns="http://schemas.openxmlformats.org/spreadsheetml/2006/main" count="2672" uniqueCount="170">
  <si>
    <t xml:space="preserve"> </t>
  </si>
  <si>
    <t>Mother's Rice Daily Summary Report</t>
  </si>
  <si>
    <t>Prepared by</t>
  </si>
  <si>
    <t>Hemanth Rajan</t>
  </si>
  <si>
    <t>28.07.2023</t>
  </si>
  <si>
    <t>MATERIAL STOCK</t>
  </si>
  <si>
    <t xml:space="preserve">                                      RICE MOISTURE :</t>
  </si>
  <si>
    <t>Item Name</t>
  </si>
  <si>
    <t>Qty(Bag)</t>
  </si>
  <si>
    <t>Particulars</t>
  </si>
  <si>
    <t>Kg</t>
  </si>
  <si>
    <t>Percentage</t>
  </si>
  <si>
    <t>PADDY JYOTHI</t>
  </si>
  <si>
    <t>BLACK</t>
  </si>
  <si>
    <t>KANJANI VADI  (SK)</t>
  </si>
  <si>
    <t>BROKEN</t>
  </si>
  <si>
    <t>THEKKAN VADI</t>
  </si>
  <si>
    <t>JAYA</t>
  </si>
  <si>
    <t>UNDA</t>
  </si>
  <si>
    <t>TKM 9</t>
  </si>
  <si>
    <t>PAZHANI VADI</t>
  </si>
  <si>
    <t>ORISSA VADI</t>
  </si>
  <si>
    <t>BASMATI/ JYOTHI MIX</t>
  </si>
  <si>
    <t>RICE STOCK REPORT</t>
  </si>
  <si>
    <t>MV 50</t>
  </si>
  <si>
    <t>MV 26</t>
  </si>
  <si>
    <t>MV 10</t>
  </si>
  <si>
    <t>MV 5 </t>
  </si>
  <si>
    <t>MO 50</t>
  </si>
  <si>
    <t>MO10</t>
  </si>
  <si>
    <t>MO 5</t>
  </si>
  <si>
    <t xml:space="preserve"> JAYA  50 </t>
  </si>
  <si>
    <t xml:space="preserve">JEERAKASHALA 1 </t>
  </si>
  <si>
    <t xml:space="preserve">JEERAKASALA 5 </t>
  </si>
  <si>
    <t xml:space="preserve">JEERAKASHALA   50 </t>
  </si>
  <si>
    <t>BRK 50</t>
  </si>
  <si>
    <t>BLK 50</t>
  </si>
  <si>
    <t xml:space="preserve">UNPOLISHEDRICE 50 KG </t>
  </si>
  <si>
    <t>MATTA UNDA PLAIN 50 KG</t>
  </si>
  <si>
    <t>WHITE KURUVA 50 KG</t>
  </si>
  <si>
    <t>YELLOW KURUVA 50 KG</t>
  </si>
  <si>
    <t>JAYA PLAIN 50KG</t>
  </si>
  <si>
    <t>PONNI 50 KG</t>
  </si>
  <si>
    <t xml:space="preserve"> SUREKHA PLAIN 50 KG</t>
  </si>
  <si>
    <t>ROSE KAIMA 50KG</t>
  </si>
  <si>
    <t>Vadi 50 kg BAG</t>
  </si>
  <si>
    <t>Opening Stock </t>
  </si>
  <si>
    <t>Production/Packing</t>
  </si>
  <si>
    <t>Sales</t>
  </si>
  <si>
    <t>Closing Stock</t>
  </si>
  <si>
    <t>680(RTN 20)</t>
  </si>
  <si>
    <t>WHITE 30 KG R</t>
  </si>
  <si>
    <t>YELLOW 30 KG R</t>
  </si>
  <si>
    <t>UNDA 10 KG R</t>
  </si>
  <si>
    <t>UNDA 30 KG R</t>
  </si>
  <si>
    <t>VADI 10 KG R</t>
  </si>
  <si>
    <t>Ponni 10 kg</t>
  </si>
  <si>
    <t>JAYA 30 KG</t>
  </si>
  <si>
    <t>More Vadi 10 KG</t>
  </si>
  <si>
    <t>More Vadi 30KG</t>
  </si>
  <si>
    <t>more unda 10 kg</t>
  </si>
  <si>
    <t>More Unda 30 KG</t>
  </si>
  <si>
    <t>More JAYA 30KG</t>
  </si>
  <si>
    <t>more Surekha 30 KG</t>
  </si>
  <si>
    <t>JEERAKASHALA 30 KG</t>
  </si>
  <si>
    <t>Vadi 10 kg E</t>
  </si>
  <si>
    <t>Vadi 5 kg E</t>
  </si>
  <si>
    <t>Unda 10 kg E</t>
  </si>
  <si>
    <t>Unda 5 kg E</t>
  </si>
  <si>
    <t>Jaya 10 kg E</t>
  </si>
  <si>
    <t>RAW 20 KG</t>
  </si>
  <si>
    <t>JEERAKASHALA 5 KG E</t>
  </si>
  <si>
    <t>Purchase</t>
  </si>
  <si>
    <t>PACKING MATERIAL STOCK REPORT</t>
  </si>
  <si>
    <t>MO 10 </t>
  </si>
  <si>
    <t>PLAIN BAG 30 KG</t>
  </si>
  <si>
    <t>R UNDA 10 KG BAG</t>
  </si>
  <si>
    <t>R YELLOW 10 KG BAG</t>
  </si>
  <si>
    <t>Plain 10  KG BAG R</t>
  </si>
  <si>
    <t>M JAYA 50 KG bag</t>
  </si>
  <si>
    <t>JAYA 10 KG BAG</t>
  </si>
  <si>
    <t>Master Bag 50KG</t>
  </si>
  <si>
    <t>Master bag 25 kg</t>
  </si>
  <si>
    <t>PONNI 5 kg</t>
  </si>
  <si>
    <t>RAW RICE 5 kg</t>
  </si>
  <si>
    <t>UNDA 5 kg E</t>
  </si>
  <si>
    <t>UNDA 10KG E</t>
  </si>
  <si>
    <t>Mother 10kg new</t>
  </si>
  <si>
    <t xml:space="preserve">Mother Vadi 5 kg </t>
  </si>
  <si>
    <t>JEERAKASHALA 2 kg</t>
  </si>
  <si>
    <t>JEERAKASHALA 5 kg</t>
  </si>
  <si>
    <t>Jeerakashala 1 KG packing bag</t>
  </si>
  <si>
    <t>MO Unda 10 kg Box type</t>
  </si>
  <si>
    <t>Cash Balance</t>
  </si>
  <si>
    <t>Bank Balance</t>
  </si>
  <si>
    <t xml:space="preserve">            HDFC CC Account 325125</t>
  </si>
  <si>
    <t>HDFC Zero balance Account 947649</t>
  </si>
  <si>
    <t xml:space="preserve">                SBI Current Account  331322</t>
  </si>
  <si>
    <t>Morning</t>
  </si>
  <si>
    <t>Amt</t>
  </si>
  <si>
    <t>Evening</t>
  </si>
  <si>
    <t>UPI- Mrg</t>
  </si>
  <si>
    <t>Weigh Bridge Outstanding</t>
  </si>
  <si>
    <t>Weigh Bridge</t>
  </si>
  <si>
    <t>Kuttan - Outstanding</t>
  </si>
  <si>
    <t xml:space="preserve">Total Receivable </t>
  </si>
  <si>
    <t>SALES  &amp; COLLECTION REPORT</t>
  </si>
  <si>
    <t>Cash</t>
  </si>
  <si>
    <t>Previous Day Pending</t>
  </si>
  <si>
    <t>Credit</t>
  </si>
  <si>
    <t>Previous Day COLLECTION</t>
  </si>
  <si>
    <t>Total </t>
  </si>
  <si>
    <t>Today's Net Credit Sales</t>
  </si>
  <si>
    <t>Today's Collection</t>
  </si>
  <si>
    <t>Today Sales Return</t>
  </si>
  <si>
    <t>Previous Day Collection (Bank)</t>
  </si>
  <si>
    <t>Total Outstanding</t>
  </si>
  <si>
    <t>Total Outstanding As Per Tally</t>
  </si>
  <si>
    <t>Difference</t>
  </si>
  <si>
    <t>Reason</t>
  </si>
  <si>
    <t>29.07.2023</t>
  </si>
  <si>
    <t>UPI</t>
  </si>
  <si>
    <t>124(RTN 8)</t>
  </si>
  <si>
    <t>550RTN 10)</t>
  </si>
  <si>
    <t>5000 P</t>
  </si>
  <si>
    <t>31.07.2023</t>
  </si>
  <si>
    <t>1000 P</t>
  </si>
  <si>
    <t>168 PV</t>
  </si>
  <si>
    <t>UNDA 30 KG</t>
  </si>
  <si>
    <t>01.08.2023</t>
  </si>
  <si>
    <t>4000 P</t>
  </si>
  <si>
    <t>02.08.2023</t>
  </si>
  <si>
    <t>WILD ROSE VADI 10</t>
  </si>
  <si>
    <t>SHAIJA MURALI</t>
  </si>
  <si>
    <t>03.08.2023</t>
  </si>
  <si>
    <t>217(DMG 1)</t>
  </si>
  <si>
    <t>251(RTN 10)</t>
  </si>
  <si>
    <t>7000 P</t>
  </si>
  <si>
    <t>04.08.2023</t>
  </si>
  <si>
    <t>25000 P</t>
  </si>
  <si>
    <t>05.08.2023</t>
  </si>
  <si>
    <t>07.08.2023</t>
  </si>
  <si>
    <t>136(DMG 2)</t>
  </si>
  <si>
    <t>Packing Carton BOX</t>
  </si>
  <si>
    <t>Master bag 40 kg</t>
  </si>
  <si>
    <t>15000 P</t>
  </si>
  <si>
    <t>257(RTN 9)</t>
  </si>
  <si>
    <t>08.08.2023</t>
  </si>
  <si>
    <t>8(DMG 3)</t>
  </si>
  <si>
    <t>09.08.2023</t>
  </si>
  <si>
    <t>87(DMG 1)</t>
  </si>
  <si>
    <t>27500 P</t>
  </si>
  <si>
    <t>10.08.2023</t>
  </si>
  <si>
    <t>213 (DMG 3)</t>
  </si>
  <si>
    <t>11.08.2023</t>
  </si>
  <si>
    <t>59(RTN 1)</t>
  </si>
  <si>
    <t>100 P</t>
  </si>
  <si>
    <t>12.08.2023</t>
  </si>
  <si>
    <t>13.08.2023-14.08.2023</t>
  </si>
  <si>
    <t>15.08.2023</t>
  </si>
  <si>
    <t>145 C</t>
  </si>
  <si>
    <t>600 C</t>
  </si>
  <si>
    <t>16.08.2023</t>
  </si>
  <si>
    <t>MO 10 kg (E)</t>
  </si>
  <si>
    <t>MO 5 Kg(E)</t>
  </si>
  <si>
    <t>17.08.2023</t>
  </si>
  <si>
    <t>700 C</t>
  </si>
  <si>
    <t>18.08.2023</t>
  </si>
  <si>
    <t>Unda 25 kg loose</t>
  </si>
  <si>
    <t>52 (RTN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</si>
</sst>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stellar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name val="Arial"/>
      <family val="2"/>
    </font>
    <font>
      <b/>
      <sz val="10"/>
      <color rgb="FF000000"/>
      <name val="Calibri"/>
      <family val="2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6228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0" fillId="0" borderId="0" xfId="0" applyBorder="1"/>
    <xf numFmtId="0" fontId="5" fillId="0" borderId="0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4" fillId="0" borderId="0" xfId="0" applyFont="1"/>
    <xf numFmtId="0" fontId="5" fillId="0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/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2" fillId="0" borderId="0" xfId="0" applyFont="1" applyBorder="1"/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0" fillId="0" borderId="1" xfId="0" applyBorder="1"/>
    <xf numFmtId="0" fontId="14" fillId="0" borderId="0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4" fillId="0" borderId="0" xfId="0" applyFont="1" applyBorder="1" applyAlignment="1"/>
    <xf numFmtId="0" fontId="8" fillId="0" borderId="0" xfId="0" applyFont="1" applyBorder="1" applyAlignment="1">
      <alignment vertical="center"/>
    </xf>
    <xf numFmtId="0" fontId="13" fillId="0" borderId="0" xfId="0" applyFont="1" applyBorder="1" applyAlignment="1"/>
    <xf numFmtId="0" fontId="13" fillId="0" borderId="0" xfId="0" applyFont="1" applyBorder="1"/>
    <xf numFmtId="0" fontId="8" fillId="0" borderId="0" xfId="0" applyFont="1" applyAlignment="1">
      <alignment horizontal="center"/>
    </xf>
    <xf numFmtId="0" fontId="13" fillId="0" borderId="0" xfId="0" applyFont="1"/>
    <xf numFmtId="0" fontId="0" fillId="0" borderId="0" xfId="0" applyBorder="1" applyAlignment="1"/>
    <xf numFmtId="0" fontId="19" fillId="0" borderId="0" xfId="0" applyFont="1" applyBorder="1"/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4" fillId="0" borderId="1" xfId="0" applyFont="1" applyFill="1" applyBorder="1"/>
    <xf numFmtId="0" fontId="2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1" fillId="0" borderId="30" xfId="0" applyFont="1" applyBorder="1" applyAlignment="1">
      <alignment horizontal="center" wrapText="1"/>
    </xf>
    <xf numFmtId="0" fontId="11" fillId="0" borderId="31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8" fillId="0" borderId="32" xfId="0" applyFont="1" applyBorder="1" applyAlignment="1">
      <alignment horizontal="center"/>
    </xf>
    <xf numFmtId="0" fontId="9" fillId="0" borderId="31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4" fontId="15" fillId="0" borderId="2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" fontId="15" fillId="0" borderId="3" xfId="0" applyNumberFormat="1" applyFont="1" applyBorder="1" applyAlignment="1">
      <alignment horizontal="center" vertical="center"/>
    </xf>
    <xf numFmtId="4" fontId="15" fillId="0" borderId="24" xfId="0" applyNumberFormat="1" applyFont="1" applyBorder="1" applyAlignment="1">
      <alignment horizontal="center" vertical="center"/>
    </xf>
    <xf numFmtId="4" fontId="15" fillId="0" borderId="25" xfId="0" applyNumberFormat="1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4" fontId="9" fillId="0" borderId="20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7" fillId="3" borderId="11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10" fontId="5" fillId="4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0" fontId="7" fillId="3" borderId="3" xfId="1" applyNumberFormat="1" applyFont="1" applyFill="1" applyBorder="1" applyAlignment="1">
      <alignment horizontal="center" vertical="center"/>
    </xf>
    <xf numFmtId="10" fontId="7" fillId="3" borderId="13" xfId="1" applyNumberFormat="1" applyFont="1" applyFill="1" applyBorder="1" applyAlignment="1">
      <alignment horizontal="center" vertical="center"/>
    </xf>
    <xf numFmtId="9" fontId="7" fillId="3" borderId="2" xfId="1" applyFont="1" applyFill="1" applyBorder="1" applyAlignment="1">
      <alignment horizontal="center" vertical="center"/>
    </xf>
    <xf numFmtId="9" fontId="7" fillId="3" borderId="13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abSelected="1" workbookViewId="0">
      <selection activeCell="G6" sqref="G6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4" max="14" width="11.570312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167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205" t="s">
        <v>6</v>
      </c>
      <c r="J5" s="206"/>
      <c r="K5" s="206"/>
      <c r="L5" s="206"/>
      <c r="M5" s="293">
        <v>0.13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204">
        <v>18633</v>
      </c>
      <c r="E7" s="11"/>
      <c r="G7" s="12"/>
      <c r="H7" s="13"/>
      <c r="I7" s="278" t="s">
        <v>13</v>
      </c>
      <c r="J7" s="278"/>
      <c r="K7" s="278"/>
      <c r="L7" s="278"/>
      <c r="M7" s="290">
        <v>0</v>
      </c>
      <c r="N7" s="290"/>
      <c r="O7" s="291">
        <v>0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0</v>
      </c>
      <c r="N8" s="290"/>
      <c r="O8" s="291">
        <v>0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 t="s">
        <v>0</v>
      </c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0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203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203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207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/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01" t="s">
        <v>45</v>
      </c>
    </row>
    <row r="19" spans="1:28" s="31" customFormat="1" ht="12.75" x14ac:dyDescent="0.2">
      <c r="A19" s="25" t="s">
        <v>46</v>
      </c>
      <c r="B19" s="204">
        <v>8</v>
      </c>
      <c r="C19" s="204">
        <v>56</v>
      </c>
      <c r="D19" s="55">
        <v>221</v>
      </c>
      <c r="E19" s="204">
        <v>86</v>
      </c>
      <c r="F19" s="204">
        <v>0</v>
      </c>
      <c r="G19" s="26">
        <v>194</v>
      </c>
      <c r="H19" s="204">
        <v>155</v>
      </c>
      <c r="I19" s="204">
        <v>0</v>
      </c>
      <c r="J19" s="27">
        <v>0</v>
      </c>
      <c r="K19" s="28">
        <v>0</v>
      </c>
      <c r="L19" s="28">
        <v>0</v>
      </c>
      <c r="M19" s="204">
        <v>86</v>
      </c>
      <c r="N19" s="28">
        <v>0</v>
      </c>
      <c r="O19" s="29">
        <v>2432</v>
      </c>
      <c r="P19" s="28">
        <v>10730</v>
      </c>
      <c r="Q19" s="28">
        <v>38</v>
      </c>
      <c r="R19" s="28">
        <v>40</v>
      </c>
      <c r="S19" s="204">
        <v>27445</v>
      </c>
      <c r="T19" s="204">
        <v>500</v>
      </c>
      <c r="U19" s="30">
        <v>1980</v>
      </c>
      <c r="V19" s="30">
        <v>103</v>
      </c>
      <c r="W19" s="200">
        <v>343</v>
      </c>
    </row>
    <row r="20" spans="1:28" s="31" customFormat="1" ht="12.75" x14ac:dyDescent="0.2">
      <c r="A20" s="5" t="s">
        <v>47</v>
      </c>
      <c r="B20" s="204">
        <v>150</v>
      </c>
      <c r="C20" s="204">
        <v>50</v>
      </c>
      <c r="D20" s="55">
        <v>950</v>
      </c>
      <c r="E20" s="204">
        <v>400</v>
      </c>
      <c r="F20" s="204">
        <v>2</v>
      </c>
      <c r="G20" s="26">
        <v>0</v>
      </c>
      <c r="H20" s="204">
        <v>0</v>
      </c>
      <c r="I20" s="204">
        <v>0</v>
      </c>
      <c r="J20" s="27">
        <v>0</v>
      </c>
      <c r="K20" s="28">
        <v>0</v>
      </c>
      <c r="L20" s="28">
        <v>0</v>
      </c>
      <c r="M20" s="204">
        <v>0</v>
      </c>
      <c r="N20" s="28">
        <v>0</v>
      </c>
      <c r="O20" s="29">
        <v>0</v>
      </c>
      <c r="P20" s="28">
        <v>0</v>
      </c>
      <c r="Q20" s="28">
        <v>0</v>
      </c>
      <c r="R20" s="204">
        <v>0</v>
      </c>
      <c r="S20" s="204">
        <v>0</v>
      </c>
      <c r="T20" s="28">
        <v>0</v>
      </c>
      <c r="U20" s="28">
        <v>0</v>
      </c>
      <c r="V20" s="204">
        <v>0</v>
      </c>
      <c r="W20" s="29">
        <v>0</v>
      </c>
    </row>
    <row r="21" spans="1:28" s="31" customFormat="1" ht="12.75" x14ac:dyDescent="0.2">
      <c r="A21" s="5" t="s">
        <v>48</v>
      </c>
      <c r="B21" s="204">
        <v>25</v>
      </c>
      <c r="C21" s="204">
        <v>59</v>
      </c>
      <c r="D21" s="55">
        <v>200</v>
      </c>
      <c r="E21" s="204">
        <v>170</v>
      </c>
      <c r="F21" s="204">
        <v>2</v>
      </c>
      <c r="G21" s="26">
        <v>0</v>
      </c>
      <c r="H21" s="204">
        <v>0</v>
      </c>
      <c r="I21" s="204">
        <v>0</v>
      </c>
      <c r="J21" s="27">
        <v>0</v>
      </c>
      <c r="K21" s="28">
        <v>0</v>
      </c>
      <c r="L21" s="28">
        <v>0</v>
      </c>
      <c r="M21" s="204">
        <v>2</v>
      </c>
      <c r="N21" s="28">
        <v>0</v>
      </c>
      <c r="O21" s="29">
        <v>0</v>
      </c>
      <c r="P21" s="28">
        <v>125</v>
      </c>
      <c r="Q21" s="28">
        <v>0</v>
      </c>
      <c r="R21" s="204">
        <v>0</v>
      </c>
      <c r="S21" s="204">
        <v>0</v>
      </c>
      <c r="T21" s="28">
        <v>0</v>
      </c>
      <c r="U21" s="28">
        <v>0</v>
      </c>
      <c r="V21" s="204">
        <v>0</v>
      </c>
      <c r="W21" s="29">
        <v>0</v>
      </c>
    </row>
    <row r="22" spans="1:28" s="31" customFormat="1" ht="12.75" x14ac:dyDescent="0.2">
      <c r="A22" s="25" t="s">
        <v>49</v>
      </c>
      <c r="B22" s="204">
        <v>133</v>
      </c>
      <c r="C22" s="204">
        <v>47</v>
      </c>
      <c r="D22" s="210">
        <v>971</v>
      </c>
      <c r="E22" s="204">
        <v>316</v>
      </c>
      <c r="F22" s="204">
        <v>0</v>
      </c>
      <c r="G22" s="26">
        <v>194</v>
      </c>
      <c r="H22" s="204">
        <v>155</v>
      </c>
      <c r="I22" s="204">
        <v>0</v>
      </c>
      <c r="J22" s="27">
        <v>0</v>
      </c>
      <c r="K22" s="28">
        <v>0</v>
      </c>
      <c r="L22" s="28">
        <v>0</v>
      </c>
      <c r="M22" s="204">
        <v>84</v>
      </c>
      <c r="N22" s="204">
        <v>0</v>
      </c>
      <c r="O22" s="204">
        <v>2432</v>
      </c>
      <c r="P22" s="204">
        <v>10625</v>
      </c>
      <c r="Q22" s="204">
        <v>38</v>
      </c>
      <c r="R22" s="204">
        <v>40</v>
      </c>
      <c r="S22" s="204">
        <v>27445</v>
      </c>
      <c r="T22" s="204">
        <v>500</v>
      </c>
      <c r="U22" s="204">
        <v>1980</v>
      </c>
      <c r="V22" s="204">
        <v>103</v>
      </c>
      <c r="W22" s="29">
        <v>343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207"/>
      <c r="J23" s="207"/>
      <c r="K23" s="207"/>
      <c r="L23" s="207"/>
      <c r="M23" s="207"/>
      <c r="N23" s="207"/>
      <c r="O23" s="207"/>
      <c r="P23" s="207"/>
      <c r="Q23" s="33"/>
      <c r="R23" s="33"/>
      <c r="S23" s="207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168</v>
      </c>
      <c r="S24" s="19" t="s">
        <v>68</v>
      </c>
      <c r="T24" s="19" t="s">
        <v>69</v>
      </c>
      <c r="U24" s="21" t="s">
        <v>163</v>
      </c>
      <c r="V24" s="19" t="s">
        <v>164</v>
      </c>
      <c r="W24" s="40"/>
      <c r="X24" s="40"/>
      <c r="Y24" s="40"/>
    </row>
    <row r="25" spans="1:28" x14ac:dyDescent="0.25">
      <c r="A25" s="25" t="s">
        <v>46</v>
      </c>
      <c r="B25" s="204">
        <v>0</v>
      </c>
      <c r="C25" s="204">
        <v>0</v>
      </c>
      <c r="D25" s="204">
        <v>1000</v>
      </c>
      <c r="E25" s="27">
        <v>0</v>
      </c>
      <c r="F25" s="204">
        <v>0</v>
      </c>
      <c r="G25" s="32">
        <v>0</v>
      </c>
      <c r="H25" s="204">
        <v>0</v>
      </c>
      <c r="I25" s="32">
        <v>0</v>
      </c>
      <c r="J25" s="204">
        <v>0</v>
      </c>
      <c r="K25" s="204">
        <v>0</v>
      </c>
      <c r="L25" s="41">
        <v>0</v>
      </c>
      <c r="M25" s="27">
        <v>0</v>
      </c>
      <c r="N25" s="204">
        <v>0</v>
      </c>
      <c r="O25" s="204">
        <v>0</v>
      </c>
      <c r="P25" s="27">
        <v>0</v>
      </c>
      <c r="Q25" s="204">
        <v>0</v>
      </c>
      <c r="R25" s="204">
        <v>0</v>
      </c>
      <c r="S25" s="204">
        <v>0</v>
      </c>
      <c r="T25" s="204">
        <v>0</v>
      </c>
      <c r="U25" s="41">
        <v>93</v>
      </c>
      <c r="V25" s="42">
        <v>50</v>
      </c>
      <c r="W25" s="12"/>
      <c r="X25" s="12"/>
      <c r="Y25" s="12"/>
    </row>
    <row r="26" spans="1:28" x14ac:dyDescent="0.25">
      <c r="A26" s="5" t="s">
        <v>47</v>
      </c>
      <c r="B26" s="204">
        <v>0</v>
      </c>
      <c r="C26" s="204">
        <v>0</v>
      </c>
      <c r="D26" s="204">
        <v>0</v>
      </c>
      <c r="E26" s="27">
        <v>0</v>
      </c>
      <c r="F26" s="204">
        <v>0</v>
      </c>
      <c r="G26" s="32">
        <v>0</v>
      </c>
      <c r="H26" s="204">
        <v>0</v>
      </c>
      <c r="I26" s="32">
        <v>0</v>
      </c>
      <c r="J26" s="204">
        <v>0</v>
      </c>
      <c r="K26" s="204">
        <v>0</v>
      </c>
      <c r="L26" s="41">
        <v>0</v>
      </c>
      <c r="M26" s="27">
        <v>0</v>
      </c>
      <c r="N26" s="204">
        <v>0</v>
      </c>
      <c r="O26" s="204">
        <v>0</v>
      </c>
      <c r="P26" s="27">
        <v>0</v>
      </c>
      <c r="Q26" s="204">
        <v>0</v>
      </c>
      <c r="R26" s="204">
        <v>0</v>
      </c>
      <c r="S26" s="204">
        <v>0</v>
      </c>
      <c r="T26" s="204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204">
        <v>0</v>
      </c>
      <c r="C27" s="204">
        <v>0</v>
      </c>
      <c r="D27" s="204">
        <v>0</v>
      </c>
      <c r="E27" s="27">
        <v>0</v>
      </c>
      <c r="F27" s="204">
        <v>0</v>
      </c>
      <c r="G27" s="32">
        <v>0</v>
      </c>
      <c r="H27" s="204">
        <v>0</v>
      </c>
      <c r="I27" s="32">
        <v>0</v>
      </c>
      <c r="J27" s="204">
        <v>0</v>
      </c>
      <c r="K27" s="204">
        <v>0</v>
      </c>
      <c r="L27" s="41">
        <v>0</v>
      </c>
      <c r="M27" s="27">
        <v>0</v>
      </c>
      <c r="N27" s="204">
        <v>0</v>
      </c>
      <c r="O27" s="204">
        <v>0</v>
      </c>
      <c r="P27" s="27">
        <v>0</v>
      </c>
      <c r="Q27" s="204">
        <v>0</v>
      </c>
      <c r="R27" s="204">
        <v>1</v>
      </c>
      <c r="S27" s="204">
        <v>0</v>
      </c>
      <c r="T27" s="204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204">
        <v>0</v>
      </c>
      <c r="C28" s="204">
        <v>0</v>
      </c>
      <c r="D28" s="204">
        <v>1000</v>
      </c>
      <c r="E28" s="27">
        <v>0</v>
      </c>
      <c r="F28" s="204">
        <v>0</v>
      </c>
      <c r="G28" s="32">
        <v>0</v>
      </c>
      <c r="H28" s="204">
        <v>0</v>
      </c>
      <c r="I28" s="32">
        <v>0</v>
      </c>
      <c r="J28" s="204">
        <v>0</v>
      </c>
      <c r="K28" s="204">
        <v>0</v>
      </c>
      <c r="L28" s="41">
        <v>0</v>
      </c>
      <c r="M28" s="27">
        <v>0</v>
      </c>
      <c r="N28" s="204">
        <v>0</v>
      </c>
      <c r="O28" s="204">
        <v>0</v>
      </c>
      <c r="P28" s="27">
        <v>0</v>
      </c>
      <c r="Q28" s="204">
        <v>0</v>
      </c>
      <c r="R28" s="204">
        <v>0</v>
      </c>
      <c r="S28" s="204">
        <v>0</v>
      </c>
      <c r="T28" s="204">
        <v>0</v>
      </c>
      <c r="U28" s="41">
        <v>93</v>
      </c>
      <c r="V28" s="42">
        <v>50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204">
        <v>5379</v>
      </c>
      <c r="C31" s="204">
        <v>4127</v>
      </c>
      <c r="D31" s="51">
        <v>5796</v>
      </c>
      <c r="E31" s="204">
        <v>7105</v>
      </c>
      <c r="F31" s="204">
        <v>608</v>
      </c>
      <c r="G31" s="204">
        <v>61</v>
      </c>
      <c r="H31" s="204">
        <v>5566</v>
      </c>
      <c r="I31" s="204">
        <v>828</v>
      </c>
      <c r="J31" s="204">
        <v>3859</v>
      </c>
      <c r="K31" s="204">
        <v>0</v>
      </c>
      <c r="L31" s="204">
        <v>315</v>
      </c>
      <c r="M31" s="28">
        <v>790</v>
      </c>
      <c r="N31" s="204">
        <v>4872</v>
      </c>
      <c r="O31" s="204">
        <v>3737</v>
      </c>
      <c r="P31" s="204">
        <v>122</v>
      </c>
      <c r="Q31" s="204">
        <v>7489</v>
      </c>
      <c r="R31" s="204">
        <v>6087</v>
      </c>
      <c r="S31" s="204">
        <v>8991</v>
      </c>
      <c r="T31" s="204">
        <v>3397</v>
      </c>
      <c r="U31" s="204">
        <v>4980</v>
      </c>
      <c r="V31" s="28">
        <v>3054</v>
      </c>
      <c r="W31" s="27">
        <v>17998</v>
      </c>
      <c r="X31" s="52">
        <v>1971</v>
      </c>
      <c r="Y31" s="52">
        <v>10710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204">
        <v>150</v>
      </c>
      <c r="C32" s="204">
        <v>50</v>
      </c>
      <c r="D32" s="55">
        <v>950</v>
      </c>
      <c r="E32" s="55">
        <v>400</v>
      </c>
      <c r="F32" s="204">
        <v>2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8">
        <v>0</v>
      </c>
      <c r="N32" s="204">
        <v>0</v>
      </c>
      <c r="O32" s="204">
        <v>257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204">
        <v>0</v>
      </c>
      <c r="C33" s="204">
        <v>0</v>
      </c>
      <c r="D33" s="55">
        <v>0</v>
      </c>
      <c r="E33" s="32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8">
        <v>0</v>
      </c>
      <c r="N33" s="204">
        <v>0</v>
      </c>
      <c r="O33" s="32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204">
        <v>5229</v>
      </c>
      <c r="C34" s="28">
        <v>4077</v>
      </c>
      <c r="D34" s="55">
        <v>4846</v>
      </c>
      <c r="E34" s="204">
        <v>6705</v>
      </c>
      <c r="F34" s="204">
        <v>606</v>
      </c>
      <c r="G34" s="204">
        <v>61</v>
      </c>
      <c r="H34" s="204">
        <v>5566</v>
      </c>
      <c r="I34" s="204">
        <v>828</v>
      </c>
      <c r="J34" s="204">
        <v>3859</v>
      </c>
      <c r="K34" s="204">
        <f>K31-K32-K33</f>
        <v>0</v>
      </c>
      <c r="L34" s="204">
        <v>315</v>
      </c>
      <c r="M34" s="28">
        <v>790</v>
      </c>
      <c r="N34" s="204">
        <v>4872</v>
      </c>
      <c r="O34" s="204">
        <v>3480</v>
      </c>
      <c r="P34" s="204">
        <v>122</v>
      </c>
      <c r="Q34" s="204">
        <f>Q31-Q32-Q33</f>
        <v>7489</v>
      </c>
      <c r="R34" s="204">
        <f>R31-R32-R33</f>
        <v>6087</v>
      </c>
      <c r="S34" s="204">
        <v>8991</v>
      </c>
      <c r="T34" s="204">
        <v>3397</v>
      </c>
      <c r="U34" s="204">
        <v>4980</v>
      </c>
      <c r="V34" s="28">
        <v>3054</v>
      </c>
      <c r="W34" s="204">
        <v>17998</v>
      </c>
      <c r="X34" s="52">
        <v>1971</v>
      </c>
      <c r="Y34" s="52">
        <v>10710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231925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2251504.7999999998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2203307.84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207"/>
      <c r="H39" s="211" t="s">
        <v>96</v>
      </c>
      <c r="I39" s="211"/>
      <c r="J39" s="258"/>
      <c r="K39" s="259">
        <v>48196.959999999999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0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209" t="s">
        <v>99</v>
      </c>
      <c r="E43" s="253" t="s">
        <v>100</v>
      </c>
      <c r="F43" s="253"/>
      <c r="G43" s="253"/>
      <c r="H43" s="208" t="s">
        <v>99</v>
      </c>
      <c r="I43" s="209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209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79513</v>
      </c>
      <c r="C44" s="65">
        <v>0</v>
      </c>
      <c r="D44" s="64">
        <v>0</v>
      </c>
      <c r="E44" s="66">
        <v>79507</v>
      </c>
      <c r="F44" s="257">
        <v>79512</v>
      </c>
      <c r="G44" s="257"/>
      <c r="H44" s="67">
        <v>0</v>
      </c>
      <c r="I44" s="68">
        <v>0</v>
      </c>
      <c r="J44" s="248" t="s">
        <v>104</v>
      </c>
      <c r="K44" s="248"/>
      <c r="L44" s="248"/>
      <c r="M44" s="248"/>
      <c r="N44" s="248"/>
      <c r="O44" s="69">
        <v>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207" t="s">
        <v>107</v>
      </c>
      <c r="E50" s="242">
        <v>15349</v>
      </c>
      <c r="F50" s="243"/>
      <c r="G50" s="243"/>
      <c r="H50" s="244"/>
      <c r="I50" s="1"/>
      <c r="J50" s="211" t="s">
        <v>108</v>
      </c>
      <c r="K50" s="211"/>
      <c r="L50" s="212"/>
      <c r="M50" s="218">
        <v>34915897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207" t="s">
        <v>109</v>
      </c>
      <c r="E51" s="242">
        <v>804350</v>
      </c>
      <c r="F51" s="243"/>
      <c r="G51" s="243"/>
      <c r="H51" s="244"/>
      <c r="I51" s="1"/>
      <c r="J51" s="211" t="s">
        <v>110</v>
      </c>
      <c r="K51" s="211"/>
      <c r="L51" s="212"/>
      <c r="M51" s="218">
        <v>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819699</v>
      </c>
      <c r="F52" s="249"/>
      <c r="G52" s="249"/>
      <c r="H52" s="249"/>
      <c r="I52" s="1"/>
      <c r="J52" s="211" t="s">
        <v>112</v>
      </c>
      <c r="K52" s="211"/>
      <c r="L52" s="212"/>
      <c r="M52" s="250">
        <v>804350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720193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3330773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35000054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35000495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-441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G38:J38"/>
    <mergeCell ref="K38:O38"/>
    <mergeCell ref="H39:J39"/>
    <mergeCell ref="K39:O39"/>
    <mergeCell ref="G40:J40"/>
    <mergeCell ref="K40:O40"/>
    <mergeCell ref="E52:H52"/>
    <mergeCell ref="J52:L52"/>
    <mergeCell ref="M52:O52"/>
    <mergeCell ref="J53:L53"/>
    <mergeCell ref="B43:C43"/>
    <mergeCell ref="E43:G43"/>
    <mergeCell ref="J43:N43"/>
    <mergeCell ref="F44:G44"/>
    <mergeCell ref="J44:N44"/>
    <mergeCell ref="E51:H51"/>
    <mergeCell ref="J51:L51"/>
    <mergeCell ref="M51:O51"/>
    <mergeCell ref="B45:H45"/>
    <mergeCell ref="J45:N45"/>
    <mergeCell ref="O45:P45"/>
    <mergeCell ref="A47:P47"/>
    <mergeCell ref="E50:H50"/>
    <mergeCell ref="J50:L50"/>
    <mergeCell ref="M50:O50"/>
    <mergeCell ref="M53:O53"/>
    <mergeCell ref="J57:L57"/>
    <mergeCell ref="M57:O57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opLeftCell="A13" workbookViewId="0">
      <selection activeCell="E22" sqref="E22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4" max="14" width="11.570312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165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95" t="s">
        <v>6</v>
      </c>
      <c r="J5" s="196"/>
      <c r="K5" s="196"/>
      <c r="L5" s="196"/>
      <c r="M5" s="293">
        <v>0.11899999999999999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94">
        <v>19083</v>
      </c>
      <c r="E7" s="11"/>
      <c r="G7" s="12"/>
      <c r="H7" s="13"/>
      <c r="I7" s="278" t="s">
        <v>13</v>
      </c>
      <c r="J7" s="278"/>
      <c r="K7" s="278"/>
      <c r="L7" s="278"/>
      <c r="M7" s="290">
        <v>1000</v>
      </c>
      <c r="N7" s="290"/>
      <c r="O7" s="291">
        <v>4.7600000000000003E-2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200</v>
      </c>
      <c r="N8" s="290"/>
      <c r="O8" s="291">
        <v>9.4999999999999998E-3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 t="s">
        <v>0</v>
      </c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0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93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93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97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01" t="s">
        <v>45</v>
      </c>
    </row>
    <row r="19" spans="1:28" s="31" customFormat="1" ht="12.75" x14ac:dyDescent="0.2">
      <c r="A19" s="25" t="s">
        <v>46</v>
      </c>
      <c r="B19" s="194">
        <v>62</v>
      </c>
      <c r="C19" s="194">
        <v>48</v>
      </c>
      <c r="D19" s="194">
        <v>52</v>
      </c>
      <c r="E19" s="194">
        <v>286</v>
      </c>
      <c r="F19" s="194">
        <v>0</v>
      </c>
      <c r="G19" s="26">
        <v>194</v>
      </c>
      <c r="H19" s="194">
        <v>175</v>
      </c>
      <c r="I19" s="194">
        <v>0</v>
      </c>
      <c r="J19" s="27">
        <v>0</v>
      </c>
      <c r="K19" s="28">
        <v>0</v>
      </c>
      <c r="L19" s="28">
        <v>0</v>
      </c>
      <c r="M19" s="194">
        <v>86</v>
      </c>
      <c r="N19" s="28">
        <v>30</v>
      </c>
      <c r="O19" s="29">
        <v>2617</v>
      </c>
      <c r="P19" s="28">
        <v>21630</v>
      </c>
      <c r="Q19" s="28">
        <v>38</v>
      </c>
      <c r="R19" s="28">
        <v>40</v>
      </c>
      <c r="S19" s="194">
        <v>28145</v>
      </c>
      <c r="T19" s="194">
        <v>500</v>
      </c>
      <c r="U19" s="30">
        <v>1980</v>
      </c>
      <c r="V19" s="30">
        <v>3</v>
      </c>
      <c r="W19" s="200">
        <v>349</v>
      </c>
    </row>
    <row r="20" spans="1:28" s="31" customFormat="1" ht="12.75" x14ac:dyDescent="0.2">
      <c r="A20" s="5" t="s">
        <v>47</v>
      </c>
      <c r="B20" s="194">
        <v>200</v>
      </c>
      <c r="C20" s="194">
        <v>50</v>
      </c>
      <c r="D20" s="194">
        <v>750</v>
      </c>
      <c r="E20" s="194">
        <v>200</v>
      </c>
      <c r="F20" s="194">
        <v>18</v>
      </c>
      <c r="G20" s="26">
        <v>0</v>
      </c>
      <c r="H20" s="194">
        <v>0</v>
      </c>
      <c r="I20" s="194">
        <v>0</v>
      </c>
      <c r="J20" s="27">
        <v>0</v>
      </c>
      <c r="K20" s="28">
        <v>0</v>
      </c>
      <c r="L20" s="28">
        <v>0</v>
      </c>
      <c r="M20" s="194">
        <v>0</v>
      </c>
      <c r="N20" s="28">
        <v>30</v>
      </c>
      <c r="O20" s="29">
        <v>0</v>
      </c>
      <c r="P20" s="28">
        <v>0</v>
      </c>
      <c r="Q20" s="28">
        <v>0</v>
      </c>
      <c r="R20" s="194">
        <v>0</v>
      </c>
      <c r="S20" s="194">
        <v>0</v>
      </c>
      <c r="T20" s="28">
        <v>0</v>
      </c>
      <c r="U20" s="28">
        <v>0</v>
      </c>
      <c r="V20" s="202" t="s">
        <v>156</v>
      </c>
      <c r="W20" s="29">
        <v>0</v>
      </c>
    </row>
    <row r="21" spans="1:28" s="31" customFormat="1" ht="12.75" x14ac:dyDescent="0.2">
      <c r="A21" s="5" t="s">
        <v>48</v>
      </c>
      <c r="B21" s="194">
        <v>254</v>
      </c>
      <c r="C21" s="194">
        <v>42</v>
      </c>
      <c r="D21" s="194">
        <v>581</v>
      </c>
      <c r="E21" s="194">
        <v>400</v>
      </c>
      <c r="F21" s="194">
        <v>18</v>
      </c>
      <c r="G21" s="26">
        <v>0</v>
      </c>
      <c r="H21" s="194">
        <v>20</v>
      </c>
      <c r="I21" s="194">
        <v>0</v>
      </c>
      <c r="J21" s="27">
        <v>0</v>
      </c>
      <c r="K21" s="28">
        <v>0</v>
      </c>
      <c r="L21" s="28">
        <v>0</v>
      </c>
      <c r="M21" s="194">
        <v>0</v>
      </c>
      <c r="N21" s="28">
        <v>60</v>
      </c>
      <c r="O21" s="29">
        <v>185</v>
      </c>
      <c r="P21" s="28">
        <v>10900</v>
      </c>
      <c r="Q21" s="28">
        <v>0</v>
      </c>
      <c r="R21" s="194">
        <v>0</v>
      </c>
      <c r="S21" s="202" t="s">
        <v>166</v>
      </c>
      <c r="T21" s="28">
        <v>0</v>
      </c>
      <c r="U21" s="28">
        <v>0</v>
      </c>
      <c r="V21" s="194">
        <v>0</v>
      </c>
      <c r="W21" s="29">
        <v>6</v>
      </c>
    </row>
    <row r="22" spans="1:28" s="31" customFormat="1" ht="12.75" x14ac:dyDescent="0.2">
      <c r="A22" s="25" t="s">
        <v>49</v>
      </c>
      <c r="B22" s="194">
        <v>8</v>
      </c>
      <c r="C22" s="194">
        <v>56</v>
      </c>
      <c r="D22" s="138">
        <v>221</v>
      </c>
      <c r="E22" s="194">
        <v>86</v>
      </c>
      <c r="F22" s="194">
        <v>0</v>
      </c>
      <c r="G22" s="26">
        <v>194</v>
      </c>
      <c r="H22" s="194">
        <v>155</v>
      </c>
      <c r="I22" s="194">
        <v>0</v>
      </c>
      <c r="J22" s="27">
        <v>0</v>
      </c>
      <c r="K22" s="28">
        <v>0</v>
      </c>
      <c r="L22" s="28">
        <v>0</v>
      </c>
      <c r="M22" s="194">
        <v>86</v>
      </c>
      <c r="N22" s="194">
        <v>0</v>
      </c>
      <c r="O22" s="194">
        <v>2432</v>
      </c>
      <c r="P22" s="194">
        <v>10730</v>
      </c>
      <c r="Q22" s="194">
        <v>38</v>
      </c>
      <c r="R22" s="194">
        <v>40</v>
      </c>
      <c r="S22" s="194">
        <v>27445</v>
      </c>
      <c r="T22" s="194">
        <v>500</v>
      </c>
      <c r="U22" s="194">
        <v>1980</v>
      </c>
      <c r="V22" s="194">
        <v>103</v>
      </c>
      <c r="W22" s="29">
        <v>343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97"/>
      <c r="J23" s="197"/>
      <c r="K23" s="197"/>
      <c r="L23" s="197"/>
      <c r="M23" s="197"/>
      <c r="N23" s="197"/>
      <c r="O23" s="197"/>
      <c r="P23" s="197"/>
      <c r="Q23" s="33"/>
      <c r="R23" s="33"/>
      <c r="S23" s="197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163</v>
      </c>
      <c r="V24" s="19" t="s">
        <v>164</v>
      </c>
      <c r="W24" s="40"/>
      <c r="X24" s="40"/>
      <c r="Y24" s="40"/>
    </row>
    <row r="25" spans="1:28" x14ac:dyDescent="0.25">
      <c r="A25" s="25" t="s">
        <v>46</v>
      </c>
      <c r="B25" s="194">
        <v>0</v>
      </c>
      <c r="C25" s="194">
        <v>0</v>
      </c>
      <c r="D25" s="194">
        <v>0</v>
      </c>
      <c r="E25" s="27">
        <v>0</v>
      </c>
      <c r="F25" s="194">
        <v>0</v>
      </c>
      <c r="G25" s="32">
        <v>0</v>
      </c>
      <c r="H25" s="194">
        <v>0</v>
      </c>
      <c r="I25" s="32">
        <v>0</v>
      </c>
      <c r="J25" s="194">
        <v>0</v>
      </c>
      <c r="K25" s="194">
        <v>0</v>
      </c>
      <c r="L25" s="41">
        <v>0</v>
      </c>
      <c r="M25" s="27">
        <v>0</v>
      </c>
      <c r="N25" s="194">
        <v>0</v>
      </c>
      <c r="O25" s="194">
        <v>0</v>
      </c>
      <c r="P25" s="27">
        <v>0</v>
      </c>
      <c r="Q25" s="194">
        <v>0</v>
      </c>
      <c r="R25" s="194">
        <v>0</v>
      </c>
      <c r="S25" s="194">
        <v>0</v>
      </c>
      <c r="T25" s="194">
        <v>0</v>
      </c>
      <c r="U25" s="41">
        <v>93</v>
      </c>
      <c r="V25" s="42">
        <v>50</v>
      </c>
      <c r="W25" s="12"/>
      <c r="X25" s="12"/>
      <c r="Y25" s="12"/>
    </row>
    <row r="26" spans="1:28" x14ac:dyDescent="0.25">
      <c r="A26" s="5" t="s">
        <v>47</v>
      </c>
      <c r="B26" s="194">
        <v>0</v>
      </c>
      <c r="C26" s="194">
        <v>0</v>
      </c>
      <c r="D26" s="194">
        <v>1000</v>
      </c>
      <c r="E26" s="27">
        <v>0</v>
      </c>
      <c r="F26" s="194">
        <v>0</v>
      </c>
      <c r="G26" s="32">
        <v>0</v>
      </c>
      <c r="H26" s="194">
        <v>0</v>
      </c>
      <c r="I26" s="32">
        <v>0</v>
      </c>
      <c r="J26" s="194">
        <v>0</v>
      </c>
      <c r="K26" s="194">
        <v>0</v>
      </c>
      <c r="L26" s="41">
        <v>0</v>
      </c>
      <c r="M26" s="27">
        <v>0</v>
      </c>
      <c r="N26" s="194">
        <v>0</v>
      </c>
      <c r="O26" s="194">
        <v>0</v>
      </c>
      <c r="P26" s="27">
        <v>0</v>
      </c>
      <c r="Q26" s="194">
        <v>0</v>
      </c>
      <c r="R26" s="194">
        <v>0</v>
      </c>
      <c r="S26" s="194">
        <v>0</v>
      </c>
      <c r="T26" s="194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94">
        <v>0</v>
      </c>
      <c r="C27" s="194">
        <v>0</v>
      </c>
      <c r="D27" s="194">
        <v>0</v>
      </c>
      <c r="E27" s="27">
        <v>0</v>
      </c>
      <c r="F27" s="194">
        <v>0</v>
      </c>
      <c r="G27" s="32">
        <v>0</v>
      </c>
      <c r="H27" s="194">
        <v>0</v>
      </c>
      <c r="I27" s="32">
        <v>0</v>
      </c>
      <c r="J27" s="194">
        <v>0</v>
      </c>
      <c r="K27" s="194">
        <v>0</v>
      </c>
      <c r="L27" s="41">
        <v>0</v>
      </c>
      <c r="M27" s="27">
        <v>0</v>
      </c>
      <c r="N27" s="194">
        <v>0</v>
      </c>
      <c r="O27" s="194">
        <v>0</v>
      </c>
      <c r="P27" s="27">
        <v>0</v>
      </c>
      <c r="Q27" s="194">
        <v>0</v>
      </c>
      <c r="R27" s="194">
        <v>0</v>
      </c>
      <c r="S27" s="194">
        <v>0</v>
      </c>
      <c r="T27" s="194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94">
        <v>0</v>
      </c>
      <c r="C28" s="194">
        <v>0</v>
      </c>
      <c r="D28" s="194">
        <v>1000</v>
      </c>
      <c r="E28" s="27">
        <v>0</v>
      </c>
      <c r="F28" s="194">
        <v>0</v>
      </c>
      <c r="G28" s="32">
        <v>0</v>
      </c>
      <c r="H28" s="194">
        <v>0</v>
      </c>
      <c r="I28" s="32">
        <v>0</v>
      </c>
      <c r="J28" s="194">
        <v>0</v>
      </c>
      <c r="K28" s="194">
        <v>0</v>
      </c>
      <c r="L28" s="41">
        <v>0</v>
      </c>
      <c r="M28" s="27">
        <v>0</v>
      </c>
      <c r="N28" s="194">
        <v>0</v>
      </c>
      <c r="O28" s="194">
        <v>0</v>
      </c>
      <c r="P28" s="27">
        <v>0</v>
      </c>
      <c r="Q28" s="194">
        <v>0</v>
      </c>
      <c r="R28" s="194">
        <v>0</v>
      </c>
      <c r="S28" s="194">
        <v>0</v>
      </c>
      <c r="T28" s="194">
        <v>0</v>
      </c>
      <c r="U28" s="41">
        <v>93</v>
      </c>
      <c r="V28" s="42">
        <v>50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94">
        <v>1104</v>
      </c>
      <c r="C31" s="194">
        <v>1177</v>
      </c>
      <c r="D31" s="51">
        <v>6546</v>
      </c>
      <c r="E31" s="194">
        <v>7305</v>
      </c>
      <c r="F31" s="194">
        <v>626</v>
      </c>
      <c r="G31" s="194">
        <v>61</v>
      </c>
      <c r="H31" s="194">
        <v>5566</v>
      </c>
      <c r="I31" s="194">
        <v>828</v>
      </c>
      <c r="J31" s="194">
        <v>4859</v>
      </c>
      <c r="K31" s="194">
        <v>0</v>
      </c>
      <c r="L31" s="194">
        <v>315</v>
      </c>
      <c r="M31" s="28">
        <v>790</v>
      </c>
      <c r="N31" s="194">
        <v>4872</v>
      </c>
      <c r="O31" s="194">
        <v>877</v>
      </c>
      <c r="P31" s="194">
        <v>122</v>
      </c>
      <c r="Q31" s="194">
        <v>7489</v>
      </c>
      <c r="R31" s="194">
        <v>6087</v>
      </c>
      <c r="S31" s="194">
        <v>8991</v>
      </c>
      <c r="T31" s="194">
        <v>3397</v>
      </c>
      <c r="U31" s="194">
        <v>4980</v>
      </c>
      <c r="V31" s="28">
        <v>3054</v>
      </c>
      <c r="W31" s="27">
        <v>17998</v>
      </c>
      <c r="X31" s="52">
        <v>1971</v>
      </c>
      <c r="Y31" s="52">
        <v>10710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94">
        <v>200</v>
      </c>
      <c r="C32" s="194">
        <v>50</v>
      </c>
      <c r="D32" s="55">
        <v>750</v>
      </c>
      <c r="E32" s="55">
        <v>200</v>
      </c>
      <c r="F32" s="194">
        <v>18</v>
      </c>
      <c r="G32" s="194">
        <v>0</v>
      </c>
      <c r="H32" s="194">
        <v>0</v>
      </c>
      <c r="I32" s="194">
        <v>0</v>
      </c>
      <c r="J32" s="194">
        <v>1000</v>
      </c>
      <c r="K32" s="194">
        <v>0</v>
      </c>
      <c r="L32" s="194">
        <v>0</v>
      </c>
      <c r="M32" s="28">
        <v>0</v>
      </c>
      <c r="N32" s="194">
        <v>0</v>
      </c>
      <c r="O32" s="194">
        <v>140</v>
      </c>
      <c r="P32" s="194">
        <v>0</v>
      </c>
      <c r="Q32" s="194">
        <v>0</v>
      </c>
      <c r="R32" s="194">
        <v>0</v>
      </c>
      <c r="S32" s="194">
        <v>0</v>
      </c>
      <c r="T32" s="194">
        <v>0</v>
      </c>
      <c r="U32" s="194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94">
        <v>4475</v>
      </c>
      <c r="C33" s="194">
        <v>3000</v>
      </c>
      <c r="D33" s="194">
        <v>0</v>
      </c>
      <c r="E33" s="32">
        <v>0</v>
      </c>
      <c r="F33" s="194">
        <v>0</v>
      </c>
      <c r="G33" s="194">
        <v>0</v>
      </c>
      <c r="H33" s="194">
        <v>0</v>
      </c>
      <c r="I33" s="194">
        <v>0</v>
      </c>
      <c r="J33" s="194">
        <v>0</v>
      </c>
      <c r="K33" s="194">
        <v>0</v>
      </c>
      <c r="L33" s="194">
        <v>0</v>
      </c>
      <c r="M33" s="28">
        <v>0</v>
      </c>
      <c r="N33" s="194">
        <v>0</v>
      </c>
      <c r="O33" s="32">
        <v>3000</v>
      </c>
      <c r="P33" s="194">
        <v>0</v>
      </c>
      <c r="Q33" s="194">
        <v>0</v>
      </c>
      <c r="R33" s="194">
        <v>0</v>
      </c>
      <c r="S33" s="194">
        <v>0</v>
      </c>
      <c r="T33" s="19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94">
        <v>5379</v>
      </c>
      <c r="C34" s="28">
        <v>4127</v>
      </c>
      <c r="D34" s="194">
        <v>5796</v>
      </c>
      <c r="E34" s="194">
        <v>7105</v>
      </c>
      <c r="F34" s="194">
        <v>608</v>
      </c>
      <c r="G34" s="194">
        <v>61</v>
      </c>
      <c r="H34" s="194">
        <v>5566</v>
      </c>
      <c r="I34" s="194">
        <v>828</v>
      </c>
      <c r="J34" s="194">
        <v>3859</v>
      </c>
      <c r="K34" s="194">
        <f>K31-K32-K33</f>
        <v>0</v>
      </c>
      <c r="L34" s="194">
        <v>315</v>
      </c>
      <c r="M34" s="28">
        <v>790</v>
      </c>
      <c r="N34" s="194">
        <v>4872</v>
      </c>
      <c r="O34" s="194">
        <v>3737</v>
      </c>
      <c r="P34" s="194">
        <v>122</v>
      </c>
      <c r="Q34" s="194">
        <f>Q31-Q32-Q33</f>
        <v>7489</v>
      </c>
      <c r="R34" s="194">
        <f>R31-R32-R33</f>
        <v>6087</v>
      </c>
      <c r="S34" s="194">
        <v>8991</v>
      </c>
      <c r="T34" s="194">
        <v>3397</v>
      </c>
      <c r="U34" s="194">
        <v>4980</v>
      </c>
      <c r="V34" s="28">
        <v>3054</v>
      </c>
      <c r="W34" s="194">
        <v>17998</v>
      </c>
      <c r="X34" s="52">
        <v>1971</v>
      </c>
      <c r="Y34" s="52">
        <v>10710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240758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564729.0199999999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471541.22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97"/>
      <c r="H39" s="211" t="s">
        <v>96</v>
      </c>
      <c r="I39" s="211"/>
      <c r="J39" s="258"/>
      <c r="K39" s="259">
        <v>55549.96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37637.839999999997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99" t="s">
        <v>99</v>
      </c>
      <c r="E43" s="253" t="s">
        <v>100</v>
      </c>
      <c r="F43" s="253"/>
      <c r="G43" s="253"/>
      <c r="H43" s="198" t="s">
        <v>99</v>
      </c>
      <c r="I43" s="199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99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79455</v>
      </c>
      <c r="C44" s="65">
        <v>79506</v>
      </c>
      <c r="D44" s="64">
        <v>2680</v>
      </c>
      <c r="E44" s="66">
        <v>79448</v>
      </c>
      <c r="F44" s="257">
        <v>79454</v>
      </c>
      <c r="G44" s="257"/>
      <c r="H44" s="67">
        <v>30</v>
      </c>
      <c r="I44" s="68">
        <v>150</v>
      </c>
      <c r="J44" s="248" t="s">
        <v>104</v>
      </c>
      <c r="K44" s="248"/>
      <c r="L44" s="248"/>
      <c r="M44" s="248"/>
      <c r="N44" s="248"/>
      <c r="O44" s="69">
        <v>190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97" t="s">
        <v>107</v>
      </c>
      <c r="E50" s="242">
        <v>6812</v>
      </c>
      <c r="F50" s="243"/>
      <c r="G50" s="243"/>
      <c r="H50" s="244"/>
      <c r="I50" s="1"/>
      <c r="J50" s="211" t="s">
        <v>108</v>
      </c>
      <c r="K50" s="211"/>
      <c r="L50" s="212"/>
      <c r="M50" s="218">
        <v>34229265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97" t="s">
        <v>109</v>
      </c>
      <c r="E51" s="242">
        <v>1712473</v>
      </c>
      <c r="F51" s="243"/>
      <c r="G51" s="243"/>
      <c r="H51" s="244"/>
      <c r="I51" s="1"/>
      <c r="J51" s="211" t="s">
        <v>110</v>
      </c>
      <c r="K51" s="211"/>
      <c r="L51" s="212"/>
      <c r="M51" s="218">
        <v>414555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1719285</v>
      </c>
      <c r="F52" s="249"/>
      <c r="G52" s="249"/>
      <c r="H52" s="249"/>
      <c r="I52" s="1"/>
      <c r="J52" s="211" t="s">
        <v>112</v>
      </c>
      <c r="K52" s="211"/>
      <c r="L52" s="212"/>
      <c r="M52" s="250">
        <v>1673840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572653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1684552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34915897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34915897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opLeftCell="A13" zoomScale="98" zoomScaleNormal="98" workbookViewId="0">
      <selection activeCell="D19" sqref="D19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4" max="14" width="11.570312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162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90" t="s">
        <v>6</v>
      </c>
      <c r="J5" s="191"/>
      <c r="K5" s="191"/>
      <c r="L5" s="191"/>
      <c r="M5" s="293">
        <v>0.11899999999999999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89">
        <v>19603</v>
      </c>
      <c r="E7" s="11"/>
      <c r="G7" s="12"/>
      <c r="H7" s="13"/>
      <c r="I7" s="278" t="s">
        <v>13</v>
      </c>
      <c r="J7" s="278"/>
      <c r="K7" s="278"/>
      <c r="L7" s="278"/>
      <c r="M7" s="290">
        <v>900</v>
      </c>
      <c r="N7" s="290"/>
      <c r="O7" s="291">
        <v>4.2799999999999998E-2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1.1900000000000001E-2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 t="s">
        <v>0</v>
      </c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0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92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92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86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89">
        <v>18</v>
      </c>
      <c r="C19" s="189">
        <v>0</v>
      </c>
      <c r="D19" s="189">
        <v>336</v>
      </c>
      <c r="E19" s="189">
        <v>237</v>
      </c>
      <c r="F19" s="189">
        <v>0</v>
      </c>
      <c r="G19" s="26">
        <v>0</v>
      </c>
      <c r="H19" s="189">
        <v>0</v>
      </c>
      <c r="I19" s="189">
        <v>0</v>
      </c>
      <c r="J19" s="27">
        <v>0</v>
      </c>
      <c r="K19" s="28">
        <v>0</v>
      </c>
      <c r="L19" s="28">
        <v>0</v>
      </c>
      <c r="M19" s="189">
        <v>65</v>
      </c>
      <c r="N19" s="28">
        <v>0</v>
      </c>
      <c r="O19" s="29">
        <v>2719</v>
      </c>
      <c r="P19" s="28">
        <v>26245</v>
      </c>
      <c r="Q19" s="28">
        <v>38</v>
      </c>
      <c r="R19" s="28">
        <v>40</v>
      </c>
      <c r="S19" s="189">
        <v>28395</v>
      </c>
      <c r="T19" s="189">
        <v>500</v>
      </c>
      <c r="U19" s="30">
        <v>1980</v>
      </c>
      <c r="V19" s="30">
        <v>23</v>
      </c>
      <c r="W19" s="29">
        <v>349</v>
      </c>
    </row>
    <row r="20" spans="1:28" s="31" customFormat="1" ht="12.75" x14ac:dyDescent="0.2">
      <c r="A20" s="5" t="s">
        <v>47</v>
      </c>
      <c r="B20" s="189">
        <v>150</v>
      </c>
      <c r="C20" s="189">
        <v>151</v>
      </c>
      <c r="D20" s="189">
        <v>850</v>
      </c>
      <c r="E20" s="189">
        <v>700</v>
      </c>
      <c r="F20" s="189">
        <v>3</v>
      </c>
      <c r="G20" s="26">
        <v>236</v>
      </c>
      <c r="H20" s="189">
        <v>185</v>
      </c>
      <c r="I20" s="189">
        <v>5</v>
      </c>
      <c r="J20" s="27">
        <v>20</v>
      </c>
      <c r="K20" s="28">
        <v>0</v>
      </c>
      <c r="L20" s="28">
        <v>0</v>
      </c>
      <c r="M20" s="189">
        <v>21</v>
      </c>
      <c r="N20" s="28">
        <v>92</v>
      </c>
      <c r="O20" s="29">
        <v>0</v>
      </c>
      <c r="P20" s="28">
        <v>0</v>
      </c>
      <c r="Q20" s="28">
        <v>0</v>
      </c>
      <c r="R20" s="189">
        <v>0</v>
      </c>
      <c r="S20" s="189">
        <v>0</v>
      </c>
      <c r="T20" s="28">
        <v>0</v>
      </c>
      <c r="U20" s="28">
        <v>0</v>
      </c>
      <c r="V20" s="189">
        <v>0</v>
      </c>
      <c r="W20" s="29">
        <v>0</v>
      </c>
    </row>
    <row r="21" spans="1:28" s="31" customFormat="1" ht="12.75" x14ac:dyDescent="0.2">
      <c r="A21" s="5" t="s">
        <v>48</v>
      </c>
      <c r="B21" s="189">
        <v>106</v>
      </c>
      <c r="C21" s="189">
        <v>103</v>
      </c>
      <c r="D21" s="189">
        <v>1139</v>
      </c>
      <c r="E21" s="189">
        <v>651</v>
      </c>
      <c r="F21" s="189">
        <v>3</v>
      </c>
      <c r="G21" s="26">
        <v>42</v>
      </c>
      <c r="H21" s="189">
        <v>10</v>
      </c>
      <c r="I21" s="189">
        <v>5</v>
      </c>
      <c r="J21" s="27">
        <v>20</v>
      </c>
      <c r="K21" s="28">
        <v>0</v>
      </c>
      <c r="L21" s="28">
        <v>0</v>
      </c>
      <c r="M21" s="189">
        <v>0</v>
      </c>
      <c r="N21" s="28">
        <v>62</v>
      </c>
      <c r="O21" s="29">
        <v>102</v>
      </c>
      <c r="P21" s="28">
        <v>4615</v>
      </c>
      <c r="Q21" s="28">
        <v>0</v>
      </c>
      <c r="R21" s="189">
        <v>0</v>
      </c>
      <c r="S21" s="189">
        <v>250</v>
      </c>
      <c r="T21" s="28">
        <v>0</v>
      </c>
      <c r="U21" s="28">
        <v>0</v>
      </c>
      <c r="V21" s="189">
        <v>20</v>
      </c>
      <c r="W21" s="29">
        <v>0</v>
      </c>
    </row>
    <row r="22" spans="1:28" s="31" customFormat="1" ht="12.75" x14ac:dyDescent="0.2">
      <c r="A22" s="25" t="s">
        <v>49</v>
      </c>
      <c r="B22" s="189">
        <v>62</v>
      </c>
      <c r="C22" s="189">
        <v>48</v>
      </c>
      <c r="D22" s="138" t="s">
        <v>169</v>
      </c>
      <c r="E22" s="189">
        <v>286</v>
      </c>
      <c r="F22" s="189">
        <v>0</v>
      </c>
      <c r="G22" s="26">
        <v>194</v>
      </c>
      <c r="H22" s="189">
        <v>175</v>
      </c>
      <c r="I22" s="189">
        <v>0</v>
      </c>
      <c r="J22" s="27">
        <v>0</v>
      </c>
      <c r="K22" s="28">
        <v>0</v>
      </c>
      <c r="L22" s="28">
        <v>0</v>
      </c>
      <c r="M22" s="189">
        <v>86</v>
      </c>
      <c r="N22" s="189">
        <v>30</v>
      </c>
      <c r="O22" s="189">
        <v>2617</v>
      </c>
      <c r="P22" s="189">
        <v>21630</v>
      </c>
      <c r="Q22" s="189">
        <v>38</v>
      </c>
      <c r="R22" s="189">
        <v>40</v>
      </c>
      <c r="S22" s="189">
        <v>28145</v>
      </c>
      <c r="T22" s="189">
        <v>500</v>
      </c>
      <c r="U22" s="189">
        <v>1980</v>
      </c>
      <c r="V22" s="189">
        <v>3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86"/>
      <c r="J23" s="186"/>
      <c r="K23" s="186"/>
      <c r="L23" s="186"/>
      <c r="M23" s="186"/>
      <c r="N23" s="186"/>
      <c r="O23" s="186"/>
      <c r="P23" s="186"/>
      <c r="Q23" s="33"/>
      <c r="R23" s="33"/>
      <c r="S23" s="186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163</v>
      </c>
      <c r="V24" s="19" t="s">
        <v>164</v>
      </c>
      <c r="W24" s="40"/>
      <c r="X24" s="40"/>
      <c r="Y24" s="40"/>
    </row>
    <row r="25" spans="1:28" x14ac:dyDescent="0.25">
      <c r="A25" s="25" t="s">
        <v>46</v>
      </c>
      <c r="B25" s="189">
        <v>0</v>
      </c>
      <c r="C25" s="189">
        <v>0</v>
      </c>
      <c r="D25" s="189">
        <v>0</v>
      </c>
      <c r="E25" s="27">
        <v>0</v>
      </c>
      <c r="F25" s="189">
        <v>0</v>
      </c>
      <c r="G25" s="32">
        <v>0</v>
      </c>
      <c r="H25" s="189">
        <v>0</v>
      </c>
      <c r="I25" s="32">
        <v>0</v>
      </c>
      <c r="J25" s="189">
        <v>0</v>
      </c>
      <c r="K25" s="189">
        <v>0</v>
      </c>
      <c r="L25" s="41">
        <v>0</v>
      </c>
      <c r="M25" s="27">
        <v>0</v>
      </c>
      <c r="N25" s="189">
        <v>0</v>
      </c>
      <c r="O25" s="189">
        <v>0</v>
      </c>
      <c r="P25" s="27">
        <v>0</v>
      </c>
      <c r="Q25" s="189">
        <v>0</v>
      </c>
      <c r="R25" s="189">
        <v>0</v>
      </c>
      <c r="S25" s="189">
        <v>0</v>
      </c>
      <c r="T25" s="189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89">
        <v>0</v>
      </c>
      <c r="C26" s="189">
        <v>0</v>
      </c>
      <c r="D26" s="189">
        <v>0</v>
      </c>
      <c r="E26" s="27">
        <v>0</v>
      </c>
      <c r="F26" s="189">
        <v>0</v>
      </c>
      <c r="G26" s="32">
        <v>0</v>
      </c>
      <c r="H26" s="189">
        <v>0</v>
      </c>
      <c r="I26" s="32">
        <v>0</v>
      </c>
      <c r="J26" s="189">
        <v>0</v>
      </c>
      <c r="K26" s="189">
        <v>0</v>
      </c>
      <c r="L26" s="41">
        <v>0</v>
      </c>
      <c r="M26" s="27">
        <v>0</v>
      </c>
      <c r="N26" s="189">
        <v>0</v>
      </c>
      <c r="O26" s="189">
        <v>0</v>
      </c>
      <c r="P26" s="27">
        <v>0</v>
      </c>
      <c r="Q26" s="189">
        <v>0</v>
      </c>
      <c r="R26" s="189">
        <v>0</v>
      </c>
      <c r="S26" s="189">
        <v>0</v>
      </c>
      <c r="T26" s="189">
        <v>0</v>
      </c>
      <c r="U26" s="41">
        <v>93</v>
      </c>
      <c r="V26" s="42">
        <v>50</v>
      </c>
      <c r="W26" s="43"/>
      <c r="X26" s="12"/>
      <c r="Y26" s="12"/>
    </row>
    <row r="27" spans="1:28" x14ac:dyDescent="0.25">
      <c r="A27" s="5" t="s">
        <v>72</v>
      </c>
      <c r="B27" s="189">
        <v>0</v>
      </c>
      <c r="C27" s="189">
        <v>0</v>
      </c>
      <c r="D27" s="189">
        <v>0</v>
      </c>
      <c r="E27" s="27">
        <v>0</v>
      </c>
      <c r="F27" s="189">
        <v>0</v>
      </c>
      <c r="G27" s="32">
        <v>0</v>
      </c>
      <c r="H27" s="189">
        <v>0</v>
      </c>
      <c r="I27" s="32">
        <v>0</v>
      </c>
      <c r="J27" s="189">
        <v>0</v>
      </c>
      <c r="K27" s="189">
        <v>0</v>
      </c>
      <c r="L27" s="41">
        <v>0</v>
      </c>
      <c r="M27" s="27">
        <v>0</v>
      </c>
      <c r="N27" s="189">
        <v>0</v>
      </c>
      <c r="O27" s="189">
        <v>0</v>
      </c>
      <c r="P27" s="27">
        <v>0</v>
      </c>
      <c r="Q27" s="189">
        <v>0</v>
      </c>
      <c r="R27" s="189">
        <v>0</v>
      </c>
      <c r="S27" s="189">
        <v>0</v>
      </c>
      <c r="T27" s="189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89">
        <v>0</v>
      </c>
      <c r="C28" s="189">
        <v>0</v>
      </c>
      <c r="D28" s="189">
        <v>0</v>
      </c>
      <c r="E28" s="27">
        <v>0</v>
      </c>
      <c r="F28" s="189">
        <v>0</v>
      </c>
      <c r="G28" s="32">
        <v>0</v>
      </c>
      <c r="H28" s="189">
        <v>0</v>
      </c>
      <c r="I28" s="32">
        <v>0</v>
      </c>
      <c r="J28" s="189">
        <v>0</v>
      </c>
      <c r="K28" s="189">
        <v>0</v>
      </c>
      <c r="L28" s="41">
        <v>0</v>
      </c>
      <c r="M28" s="27">
        <v>0</v>
      </c>
      <c r="N28" s="189">
        <v>0</v>
      </c>
      <c r="O28" s="189">
        <v>0</v>
      </c>
      <c r="P28" s="27">
        <v>0</v>
      </c>
      <c r="Q28" s="189">
        <v>0</v>
      </c>
      <c r="R28" s="189">
        <v>0</v>
      </c>
      <c r="S28" s="189">
        <v>0</v>
      </c>
      <c r="T28" s="189">
        <v>0</v>
      </c>
      <c r="U28" s="41">
        <v>93</v>
      </c>
      <c r="V28" s="42">
        <v>50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89">
        <v>1254</v>
      </c>
      <c r="C31" s="189">
        <v>1328</v>
      </c>
      <c r="D31" s="51">
        <v>7396</v>
      </c>
      <c r="E31" s="189">
        <v>8005</v>
      </c>
      <c r="F31" s="189">
        <v>629</v>
      </c>
      <c r="G31" s="189">
        <v>297</v>
      </c>
      <c r="H31" s="189">
        <v>5751</v>
      </c>
      <c r="I31" s="189">
        <v>828</v>
      </c>
      <c r="J31" s="189">
        <v>4859</v>
      </c>
      <c r="K31" s="189">
        <v>0</v>
      </c>
      <c r="L31" s="189">
        <v>315</v>
      </c>
      <c r="M31" s="28">
        <v>790</v>
      </c>
      <c r="N31" s="189">
        <v>4872</v>
      </c>
      <c r="O31" s="189">
        <v>1141</v>
      </c>
      <c r="P31" s="189">
        <v>122</v>
      </c>
      <c r="Q31" s="189">
        <v>7489</v>
      </c>
      <c r="R31" s="189">
        <v>6087</v>
      </c>
      <c r="S31" s="189">
        <v>8991</v>
      </c>
      <c r="T31" s="189">
        <v>3397</v>
      </c>
      <c r="U31" s="189">
        <v>4980</v>
      </c>
      <c r="V31" s="28">
        <v>3054</v>
      </c>
      <c r="W31" s="27">
        <v>17998</v>
      </c>
      <c r="X31" s="52">
        <v>1971</v>
      </c>
      <c r="Y31" s="52">
        <v>10730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89">
        <v>150</v>
      </c>
      <c r="C32" s="189">
        <v>151</v>
      </c>
      <c r="D32" s="55">
        <v>850</v>
      </c>
      <c r="E32" s="55">
        <v>700</v>
      </c>
      <c r="F32" s="189">
        <v>3</v>
      </c>
      <c r="G32" s="189">
        <v>236</v>
      </c>
      <c r="H32" s="189">
        <v>185</v>
      </c>
      <c r="I32" s="189">
        <v>0</v>
      </c>
      <c r="J32" s="189">
        <v>0</v>
      </c>
      <c r="K32" s="189">
        <v>0</v>
      </c>
      <c r="L32" s="189">
        <v>0</v>
      </c>
      <c r="M32" s="28">
        <v>0</v>
      </c>
      <c r="N32" s="189">
        <v>0</v>
      </c>
      <c r="O32" s="189">
        <v>264</v>
      </c>
      <c r="P32" s="189">
        <v>0</v>
      </c>
      <c r="Q32" s="189">
        <v>0</v>
      </c>
      <c r="R32" s="189">
        <v>0</v>
      </c>
      <c r="S32" s="189">
        <v>0</v>
      </c>
      <c r="T32" s="189">
        <v>0</v>
      </c>
      <c r="U32" s="189">
        <v>0</v>
      </c>
      <c r="V32" s="28">
        <v>0</v>
      </c>
      <c r="W32" s="27">
        <v>0</v>
      </c>
      <c r="X32" s="52">
        <v>0</v>
      </c>
      <c r="Y32" s="52">
        <v>20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89">
        <v>0</v>
      </c>
      <c r="C33" s="189">
        <v>0</v>
      </c>
      <c r="D33" s="189">
        <v>0</v>
      </c>
      <c r="E33" s="32">
        <v>0</v>
      </c>
      <c r="F33" s="189">
        <v>0</v>
      </c>
      <c r="G33" s="189">
        <v>0</v>
      </c>
      <c r="H33" s="189">
        <v>0</v>
      </c>
      <c r="I33" s="189">
        <v>0</v>
      </c>
      <c r="J33" s="189">
        <v>0</v>
      </c>
      <c r="K33" s="189">
        <v>0</v>
      </c>
      <c r="L33" s="189">
        <v>0</v>
      </c>
      <c r="M33" s="28">
        <v>0</v>
      </c>
      <c r="N33" s="189">
        <v>0</v>
      </c>
      <c r="O33" s="32">
        <v>0</v>
      </c>
      <c r="P33" s="189">
        <v>0</v>
      </c>
      <c r="Q33" s="189">
        <v>0</v>
      </c>
      <c r="R33" s="189">
        <v>0</v>
      </c>
      <c r="S33" s="189">
        <v>0</v>
      </c>
      <c r="T33" s="189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89">
        <v>1104</v>
      </c>
      <c r="C34" s="28">
        <v>1177</v>
      </c>
      <c r="D34" s="189">
        <v>6546</v>
      </c>
      <c r="E34" s="189">
        <v>7305</v>
      </c>
      <c r="F34" s="189">
        <v>626</v>
      </c>
      <c r="G34" s="189">
        <v>61</v>
      </c>
      <c r="H34" s="189">
        <v>5566</v>
      </c>
      <c r="I34" s="189">
        <v>828</v>
      </c>
      <c r="J34" s="189">
        <v>4859</v>
      </c>
      <c r="K34" s="189">
        <f>K31-K32-K33</f>
        <v>0</v>
      </c>
      <c r="L34" s="189">
        <v>315</v>
      </c>
      <c r="M34" s="28">
        <v>790</v>
      </c>
      <c r="N34" s="189">
        <v>4872</v>
      </c>
      <c r="O34" s="189">
        <v>877</v>
      </c>
      <c r="P34" s="189">
        <v>122</v>
      </c>
      <c r="Q34" s="189">
        <f>Q31-Q32-Q33</f>
        <v>7489</v>
      </c>
      <c r="R34" s="189">
        <f>R31-R32-R33</f>
        <v>6087</v>
      </c>
      <c r="S34" s="189">
        <v>8991</v>
      </c>
      <c r="T34" s="189">
        <v>3397</v>
      </c>
      <c r="U34" s="189">
        <v>4980</v>
      </c>
      <c r="V34" s="28">
        <v>3054</v>
      </c>
      <c r="W34" s="189">
        <v>17998</v>
      </c>
      <c r="X34" s="52">
        <v>1971</v>
      </c>
      <c r="Y34" s="52">
        <v>10710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423795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1454604.02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1383477.22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86"/>
      <c r="H39" s="211" t="s">
        <v>96</v>
      </c>
      <c r="I39" s="211"/>
      <c r="J39" s="258"/>
      <c r="K39" s="259">
        <v>55549.96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15576.84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88" t="s">
        <v>99</v>
      </c>
      <c r="E43" s="253" t="s">
        <v>100</v>
      </c>
      <c r="F43" s="253"/>
      <c r="G43" s="253"/>
      <c r="H43" s="187" t="s">
        <v>99</v>
      </c>
      <c r="I43" s="188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88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79401</v>
      </c>
      <c r="C44" s="65">
        <v>79447</v>
      </c>
      <c r="D44" s="64">
        <v>2590</v>
      </c>
      <c r="E44" s="66">
        <v>79391</v>
      </c>
      <c r="F44" s="257">
        <v>79400</v>
      </c>
      <c r="G44" s="257"/>
      <c r="H44" s="67">
        <v>190</v>
      </c>
      <c r="I44" s="68">
        <v>230</v>
      </c>
      <c r="J44" s="248" t="s">
        <v>104</v>
      </c>
      <c r="K44" s="248"/>
      <c r="L44" s="248"/>
      <c r="M44" s="248"/>
      <c r="N44" s="248"/>
      <c r="O44" s="69">
        <v>160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86" t="s">
        <v>107</v>
      </c>
      <c r="E50" s="242">
        <v>62128</v>
      </c>
      <c r="F50" s="243"/>
      <c r="G50" s="243"/>
      <c r="H50" s="244"/>
      <c r="I50" s="1"/>
      <c r="J50" s="211" t="s">
        <v>108</v>
      </c>
      <c r="K50" s="211"/>
      <c r="L50" s="212"/>
      <c r="M50" s="218">
        <v>34764949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86" t="s">
        <v>109</v>
      </c>
      <c r="E51" s="242">
        <v>1333921</v>
      </c>
      <c r="F51" s="243"/>
      <c r="G51" s="243"/>
      <c r="H51" s="244"/>
      <c r="I51" s="1"/>
      <c r="J51" s="211" t="s">
        <v>110</v>
      </c>
      <c r="K51" s="211"/>
      <c r="L51" s="212"/>
      <c r="M51" s="218">
        <v>903482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1396049</v>
      </c>
      <c r="F52" s="249"/>
      <c r="G52" s="249"/>
      <c r="H52" s="249"/>
      <c r="I52" s="1"/>
      <c r="J52" s="211" t="s">
        <v>112</v>
      </c>
      <c r="K52" s="211"/>
      <c r="L52" s="212"/>
      <c r="M52" s="250">
        <v>1333921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966123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270337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34229265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34229265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G10" sqref="G10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4" max="14" width="11.570312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159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81" t="s">
        <v>6</v>
      </c>
      <c r="J5" s="182"/>
      <c r="K5" s="182"/>
      <c r="L5" s="182"/>
      <c r="M5" s="293">
        <v>0.122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83">
        <v>19591</v>
      </c>
      <c r="E7" s="11"/>
      <c r="G7" s="12"/>
      <c r="H7" s="13"/>
      <c r="I7" s="278" t="s">
        <v>13</v>
      </c>
      <c r="J7" s="278"/>
      <c r="K7" s="278"/>
      <c r="L7" s="278"/>
      <c r="M7" s="290">
        <v>1100</v>
      </c>
      <c r="N7" s="290"/>
      <c r="O7" s="291">
        <v>5.2299999999999999E-2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300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0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84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84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78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83">
        <v>23</v>
      </c>
      <c r="C19" s="183">
        <v>30</v>
      </c>
      <c r="D19" s="183">
        <v>1007</v>
      </c>
      <c r="E19" s="183">
        <v>103</v>
      </c>
      <c r="F19" s="183">
        <v>0</v>
      </c>
      <c r="G19" s="26">
        <v>0</v>
      </c>
      <c r="H19" s="183">
        <v>0</v>
      </c>
      <c r="I19" s="183">
        <v>0</v>
      </c>
      <c r="J19" s="27">
        <v>0</v>
      </c>
      <c r="K19" s="28">
        <v>0</v>
      </c>
      <c r="L19" s="28">
        <v>0</v>
      </c>
      <c r="M19" s="183">
        <v>65</v>
      </c>
      <c r="N19" s="28">
        <v>0</v>
      </c>
      <c r="O19" s="29">
        <v>2864</v>
      </c>
      <c r="P19" s="28">
        <v>22995</v>
      </c>
      <c r="Q19" s="28">
        <v>38</v>
      </c>
      <c r="R19" s="28">
        <v>40</v>
      </c>
      <c r="S19" s="183">
        <v>28995</v>
      </c>
      <c r="T19" s="183">
        <v>500</v>
      </c>
      <c r="U19" s="30">
        <v>1980</v>
      </c>
      <c r="V19" s="30">
        <v>43</v>
      </c>
      <c r="W19" s="29">
        <v>349</v>
      </c>
    </row>
    <row r="20" spans="1:28" s="31" customFormat="1" ht="12.75" x14ac:dyDescent="0.2">
      <c r="A20" s="5" t="s">
        <v>47</v>
      </c>
      <c r="B20" s="183">
        <v>150</v>
      </c>
      <c r="C20" s="183">
        <v>121</v>
      </c>
      <c r="D20" s="183">
        <v>0</v>
      </c>
      <c r="E20" s="183">
        <v>700</v>
      </c>
      <c r="F20" s="183">
        <v>9</v>
      </c>
      <c r="G20" s="26">
        <v>10</v>
      </c>
      <c r="H20" s="183">
        <v>40</v>
      </c>
      <c r="I20" s="183">
        <v>0</v>
      </c>
      <c r="J20" s="27">
        <v>20</v>
      </c>
      <c r="K20" s="28">
        <v>0</v>
      </c>
      <c r="L20" s="28">
        <v>0</v>
      </c>
      <c r="M20" s="183">
        <v>0</v>
      </c>
      <c r="N20" s="28">
        <v>0</v>
      </c>
      <c r="O20" s="29">
        <v>0</v>
      </c>
      <c r="P20" s="28">
        <v>4000</v>
      </c>
      <c r="Q20" s="28">
        <v>0</v>
      </c>
      <c r="R20" s="183">
        <v>0</v>
      </c>
      <c r="S20" s="183">
        <v>0</v>
      </c>
      <c r="T20" s="28">
        <v>0</v>
      </c>
      <c r="U20" s="28">
        <v>0</v>
      </c>
      <c r="V20" s="183">
        <v>0</v>
      </c>
      <c r="W20" s="29">
        <v>0</v>
      </c>
    </row>
    <row r="21" spans="1:28" s="31" customFormat="1" ht="12.75" x14ac:dyDescent="0.2">
      <c r="A21" s="5" t="s">
        <v>48</v>
      </c>
      <c r="B21" s="183">
        <v>155</v>
      </c>
      <c r="C21" s="183">
        <v>151</v>
      </c>
      <c r="D21" s="183">
        <v>671</v>
      </c>
      <c r="E21" s="183">
        <v>566</v>
      </c>
      <c r="F21" s="183">
        <v>9</v>
      </c>
      <c r="G21" s="26">
        <v>10</v>
      </c>
      <c r="H21" s="183">
        <v>40</v>
      </c>
      <c r="I21" s="183">
        <v>0</v>
      </c>
      <c r="J21" s="27">
        <v>20</v>
      </c>
      <c r="K21" s="28">
        <v>0</v>
      </c>
      <c r="L21" s="28">
        <v>0</v>
      </c>
      <c r="M21" s="183">
        <v>0</v>
      </c>
      <c r="N21" s="28">
        <v>0</v>
      </c>
      <c r="O21" s="29" t="s">
        <v>160</v>
      </c>
      <c r="P21" s="28">
        <v>750</v>
      </c>
      <c r="Q21" s="28">
        <v>0</v>
      </c>
      <c r="R21" s="183">
        <v>0</v>
      </c>
      <c r="S21" s="185" t="s">
        <v>161</v>
      </c>
      <c r="T21" s="28">
        <v>0</v>
      </c>
      <c r="U21" s="28">
        <v>0</v>
      </c>
      <c r="V21" s="183">
        <v>20</v>
      </c>
      <c r="W21" s="29">
        <v>0</v>
      </c>
    </row>
    <row r="22" spans="1:28" s="31" customFormat="1" ht="12.75" x14ac:dyDescent="0.2">
      <c r="A22" s="25" t="s">
        <v>49</v>
      </c>
      <c r="B22" s="183">
        <v>18</v>
      </c>
      <c r="C22" s="183">
        <v>0</v>
      </c>
      <c r="D22" s="138">
        <v>336</v>
      </c>
      <c r="E22" s="183">
        <v>237</v>
      </c>
      <c r="F22" s="183">
        <v>0</v>
      </c>
      <c r="G22" s="26">
        <v>0</v>
      </c>
      <c r="H22" s="183">
        <v>0</v>
      </c>
      <c r="I22" s="183">
        <v>0</v>
      </c>
      <c r="J22" s="27">
        <v>0</v>
      </c>
      <c r="K22" s="28">
        <v>0</v>
      </c>
      <c r="L22" s="28">
        <v>0</v>
      </c>
      <c r="M22" s="183">
        <v>65</v>
      </c>
      <c r="N22" s="183">
        <v>0</v>
      </c>
      <c r="O22" s="183">
        <v>2719</v>
      </c>
      <c r="P22" s="183">
        <v>26245</v>
      </c>
      <c r="Q22" s="183">
        <v>38</v>
      </c>
      <c r="R22" s="183">
        <v>40</v>
      </c>
      <c r="S22" s="183">
        <v>28395</v>
      </c>
      <c r="T22" s="183">
        <v>500</v>
      </c>
      <c r="U22" s="183">
        <v>1980</v>
      </c>
      <c r="V22" s="183">
        <v>23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78"/>
      <c r="J23" s="178"/>
      <c r="K23" s="178"/>
      <c r="L23" s="178"/>
      <c r="M23" s="178"/>
      <c r="N23" s="178"/>
      <c r="O23" s="178"/>
      <c r="P23" s="178"/>
      <c r="Q23" s="33"/>
      <c r="R23" s="33"/>
      <c r="S23" s="178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83">
        <v>0</v>
      </c>
      <c r="C25" s="183">
        <v>0</v>
      </c>
      <c r="D25" s="183">
        <v>0</v>
      </c>
      <c r="E25" s="27">
        <v>0</v>
      </c>
      <c r="F25" s="183">
        <v>0</v>
      </c>
      <c r="G25" s="32">
        <v>0</v>
      </c>
      <c r="H25" s="183">
        <v>0</v>
      </c>
      <c r="I25" s="32">
        <v>0</v>
      </c>
      <c r="J25" s="183">
        <v>0</v>
      </c>
      <c r="K25" s="183">
        <v>0</v>
      </c>
      <c r="L25" s="41">
        <v>0</v>
      </c>
      <c r="M25" s="27">
        <v>0</v>
      </c>
      <c r="N25" s="183">
        <v>0</v>
      </c>
      <c r="O25" s="183">
        <v>0</v>
      </c>
      <c r="P25" s="27">
        <v>0</v>
      </c>
      <c r="Q25" s="183">
        <v>0</v>
      </c>
      <c r="R25" s="183">
        <v>0</v>
      </c>
      <c r="S25" s="183">
        <v>0</v>
      </c>
      <c r="T25" s="183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83">
        <v>0</v>
      </c>
      <c r="C26" s="183">
        <v>0</v>
      </c>
      <c r="D26" s="183">
        <v>0</v>
      </c>
      <c r="E26" s="27">
        <v>0</v>
      </c>
      <c r="F26" s="183">
        <v>0</v>
      </c>
      <c r="G26" s="32">
        <v>0</v>
      </c>
      <c r="H26" s="183">
        <v>0</v>
      </c>
      <c r="I26" s="32">
        <v>0</v>
      </c>
      <c r="J26" s="183">
        <v>0</v>
      </c>
      <c r="K26" s="183">
        <v>0</v>
      </c>
      <c r="L26" s="41">
        <v>0</v>
      </c>
      <c r="M26" s="27">
        <v>0</v>
      </c>
      <c r="N26" s="183">
        <v>0</v>
      </c>
      <c r="O26" s="183">
        <v>0</v>
      </c>
      <c r="P26" s="27">
        <v>0</v>
      </c>
      <c r="Q26" s="183">
        <v>0</v>
      </c>
      <c r="R26" s="183">
        <v>0</v>
      </c>
      <c r="S26" s="183">
        <v>0</v>
      </c>
      <c r="T26" s="183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83">
        <v>0</v>
      </c>
      <c r="C27" s="183">
        <v>0</v>
      </c>
      <c r="D27" s="183">
        <v>0</v>
      </c>
      <c r="E27" s="27">
        <v>0</v>
      </c>
      <c r="F27" s="183">
        <v>0</v>
      </c>
      <c r="G27" s="32">
        <v>0</v>
      </c>
      <c r="H27" s="183">
        <v>0</v>
      </c>
      <c r="I27" s="32">
        <v>0</v>
      </c>
      <c r="J27" s="183">
        <v>0</v>
      </c>
      <c r="K27" s="183">
        <v>0</v>
      </c>
      <c r="L27" s="41">
        <v>0</v>
      </c>
      <c r="M27" s="27">
        <v>0</v>
      </c>
      <c r="N27" s="183">
        <v>0</v>
      </c>
      <c r="O27" s="183">
        <v>0</v>
      </c>
      <c r="P27" s="27">
        <v>0</v>
      </c>
      <c r="Q27" s="183">
        <v>0</v>
      </c>
      <c r="R27" s="183">
        <v>0</v>
      </c>
      <c r="S27" s="183">
        <v>0</v>
      </c>
      <c r="T27" s="183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83">
        <v>0</v>
      </c>
      <c r="C28" s="183">
        <v>0</v>
      </c>
      <c r="D28" s="183">
        <v>0</v>
      </c>
      <c r="E28" s="27">
        <v>0</v>
      </c>
      <c r="F28" s="183">
        <v>0</v>
      </c>
      <c r="G28" s="32">
        <v>0</v>
      </c>
      <c r="H28" s="183">
        <v>0</v>
      </c>
      <c r="I28" s="32">
        <v>0</v>
      </c>
      <c r="J28" s="183">
        <v>0</v>
      </c>
      <c r="K28" s="183">
        <v>0</v>
      </c>
      <c r="L28" s="41">
        <v>0</v>
      </c>
      <c r="M28" s="27">
        <v>0</v>
      </c>
      <c r="N28" s="183">
        <v>0</v>
      </c>
      <c r="O28" s="183">
        <v>0</v>
      </c>
      <c r="P28" s="27">
        <v>0</v>
      </c>
      <c r="Q28" s="183">
        <v>0</v>
      </c>
      <c r="R28" s="183">
        <v>0</v>
      </c>
      <c r="S28" s="183">
        <v>0</v>
      </c>
      <c r="T28" s="183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83">
        <v>1404</v>
      </c>
      <c r="C31" s="183">
        <v>1499</v>
      </c>
      <c r="D31" s="51">
        <v>7396</v>
      </c>
      <c r="E31" s="183">
        <v>8705</v>
      </c>
      <c r="F31" s="183">
        <v>638</v>
      </c>
      <c r="G31" s="183">
        <v>307</v>
      </c>
      <c r="H31" s="183">
        <v>5791</v>
      </c>
      <c r="I31" s="183">
        <v>828</v>
      </c>
      <c r="J31" s="183">
        <v>4859</v>
      </c>
      <c r="K31" s="183">
        <v>0</v>
      </c>
      <c r="L31" s="183">
        <v>315</v>
      </c>
      <c r="M31" s="28">
        <v>790</v>
      </c>
      <c r="N31" s="183">
        <v>4872</v>
      </c>
      <c r="O31" s="183">
        <v>1337</v>
      </c>
      <c r="P31" s="183">
        <v>122</v>
      </c>
      <c r="Q31" s="183">
        <v>7489</v>
      </c>
      <c r="R31" s="183">
        <v>6087</v>
      </c>
      <c r="S31" s="183">
        <v>8991</v>
      </c>
      <c r="T31" s="183">
        <v>3397</v>
      </c>
      <c r="U31" s="183">
        <v>4980</v>
      </c>
      <c r="V31" s="28">
        <v>3054</v>
      </c>
      <c r="W31" s="27">
        <v>17998</v>
      </c>
      <c r="X31" s="52">
        <v>1971</v>
      </c>
      <c r="Y31" s="52">
        <v>10750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83">
        <v>150</v>
      </c>
      <c r="C32" s="183">
        <v>121</v>
      </c>
      <c r="D32" s="55">
        <v>0</v>
      </c>
      <c r="E32" s="55">
        <v>700</v>
      </c>
      <c r="F32" s="183">
        <v>9</v>
      </c>
      <c r="G32" s="183">
        <v>10</v>
      </c>
      <c r="H32" s="183">
        <v>40</v>
      </c>
      <c r="I32" s="183">
        <v>0</v>
      </c>
      <c r="J32" s="183">
        <v>0</v>
      </c>
      <c r="K32" s="183">
        <v>0</v>
      </c>
      <c r="L32" s="183">
        <v>0</v>
      </c>
      <c r="M32" s="28">
        <v>0</v>
      </c>
      <c r="N32" s="183">
        <v>0</v>
      </c>
      <c r="O32" s="183">
        <v>196</v>
      </c>
      <c r="P32" s="183">
        <v>0</v>
      </c>
      <c r="Q32" s="183">
        <v>0</v>
      </c>
      <c r="R32" s="183">
        <v>0</v>
      </c>
      <c r="S32" s="183">
        <v>0</v>
      </c>
      <c r="T32" s="183">
        <v>0</v>
      </c>
      <c r="U32" s="183">
        <v>0</v>
      </c>
      <c r="V32" s="28">
        <v>0</v>
      </c>
      <c r="W32" s="27">
        <v>0</v>
      </c>
      <c r="X32" s="52">
        <v>0</v>
      </c>
      <c r="Y32" s="52">
        <v>20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83">
        <v>0</v>
      </c>
      <c r="C33" s="183">
        <v>0</v>
      </c>
      <c r="D33" s="183">
        <v>0</v>
      </c>
      <c r="E33" s="32">
        <v>0</v>
      </c>
      <c r="F33" s="183">
        <v>0</v>
      </c>
      <c r="G33" s="183">
        <v>0</v>
      </c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28">
        <v>0</v>
      </c>
      <c r="N33" s="183">
        <v>0</v>
      </c>
      <c r="O33" s="32">
        <v>0</v>
      </c>
      <c r="P33" s="183">
        <v>0</v>
      </c>
      <c r="Q33" s="183">
        <v>0</v>
      </c>
      <c r="R33" s="183">
        <v>0</v>
      </c>
      <c r="S33" s="183">
        <v>0</v>
      </c>
      <c r="T33" s="183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83">
        <v>1254</v>
      </c>
      <c r="C34" s="28">
        <v>1328</v>
      </c>
      <c r="D34" s="183">
        <v>7396</v>
      </c>
      <c r="E34" s="183">
        <v>8005</v>
      </c>
      <c r="F34" s="183">
        <v>629</v>
      </c>
      <c r="G34" s="183">
        <v>297</v>
      </c>
      <c r="H34" s="183">
        <v>5751</v>
      </c>
      <c r="I34" s="183">
        <v>828</v>
      </c>
      <c r="J34" s="183">
        <v>4859</v>
      </c>
      <c r="K34" s="183">
        <f>K31-K32-K33</f>
        <v>0</v>
      </c>
      <c r="L34" s="183">
        <v>315</v>
      </c>
      <c r="M34" s="28">
        <v>790</v>
      </c>
      <c r="N34" s="183">
        <v>4872</v>
      </c>
      <c r="O34" s="183">
        <v>1141</v>
      </c>
      <c r="P34" s="183">
        <v>122</v>
      </c>
      <c r="Q34" s="183">
        <f>Q31-Q32-Q33</f>
        <v>7489</v>
      </c>
      <c r="R34" s="183">
        <f>R31-R32-R33</f>
        <v>6087</v>
      </c>
      <c r="S34" s="183">
        <v>8991</v>
      </c>
      <c r="T34" s="183">
        <v>3397</v>
      </c>
      <c r="U34" s="183">
        <v>4980</v>
      </c>
      <c r="V34" s="28">
        <v>3054</v>
      </c>
      <c r="W34" s="183">
        <v>17998</v>
      </c>
      <c r="X34" s="52">
        <v>1971</v>
      </c>
      <c r="Y34" s="52">
        <v>10730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195574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1546631.72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1432699.72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78"/>
      <c r="H39" s="211" t="s">
        <v>96</v>
      </c>
      <c r="I39" s="211"/>
      <c r="J39" s="258"/>
      <c r="K39" s="259">
        <v>55549.96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58382.04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80" t="s">
        <v>99</v>
      </c>
      <c r="E43" s="253" t="s">
        <v>100</v>
      </c>
      <c r="F43" s="253"/>
      <c r="G43" s="253"/>
      <c r="H43" s="179" t="s">
        <v>99</v>
      </c>
      <c r="I43" s="180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80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79370</v>
      </c>
      <c r="C44" s="65">
        <v>79390</v>
      </c>
      <c r="D44" s="64">
        <v>840</v>
      </c>
      <c r="E44" s="66">
        <v>79360</v>
      </c>
      <c r="F44" s="257">
        <v>79369</v>
      </c>
      <c r="G44" s="257"/>
      <c r="H44" s="67">
        <v>190</v>
      </c>
      <c r="I44" s="68">
        <v>30</v>
      </c>
      <c r="J44" s="248" t="s">
        <v>104</v>
      </c>
      <c r="K44" s="248"/>
      <c r="L44" s="248"/>
      <c r="M44" s="248"/>
      <c r="N44" s="248"/>
      <c r="O44" s="69">
        <v>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78" t="s">
        <v>107</v>
      </c>
      <c r="E50" s="242">
        <v>2720</v>
      </c>
      <c r="F50" s="243"/>
      <c r="G50" s="243"/>
      <c r="H50" s="244"/>
      <c r="I50" s="1"/>
      <c r="J50" s="211" t="s">
        <v>108</v>
      </c>
      <c r="K50" s="211"/>
      <c r="L50" s="212"/>
      <c r="M50" s="218">
        <v>34351288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78" t="s">
        <v>109</v>
      </c>
      <c r="E51" s="242">
        <v>1206725</v>
      </c>
      <c r="F51" s="243"/>
      <c r="G51" s="243"/>
      <c r="H51" s="244"/>
      <c r="I51" s="1"/>
      <c r="J51" s="211" t="s">
        <v>110</v>
      </c>
      <c r="K51" s="211"/>
      <c r="L51" s="212"/>
      <c r="M51" s="218">
        <v>671731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1209445</v>
      </c>
      <c r="F52" s="249"/>
      <c r="G52" s="249"/>
      <c r="H52" s="249"/>
      <c r="I52" s="1"/>
      <c r="J52" s="211" t="s">
        <v>112</v>
      </c>
      <c r="K52" s="211"/>
      <c r="L52" s="212"/>
      <c r="M52" s="250">
        <v>1205321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119929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2198894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34764949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34764949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opLeftCell="A22" workbookViewId="0">
      <selection activeCell="A35" sqref="A35:H35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4" max="14" width="11.570312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158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75" t="s">
        <v>6</v>
      </c>
      <c r="J5" s="176"/>
      <c r="K5" s="176"/>
      <c r="L5" s="176"/>
      <c r="M5" s="293">
        <v>0.111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74">
        <v>20421</v>
      </c>
      <c r="E7" s="11"/>
      <c r="G7" s="12"/>
      <c r="H7" s="13"/>
      <c r="I7" s="278" t="s">
        <v>13</v>
      </c>
      <c r="J7" s="278"/>
      <c r="K7" s="278"/>
      <c r="L7" s="278"/>
      <c r="M7" s="290">
        <v>1400</v>
      </c>
      <c r="N7" s="290"/>
      <c r="O7" s="291">
        <v>0.08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550</v>
      </c>
      <c r="N8" s="290"/>
      <c r="O8" s="291">
        <v>3.1399999999999997E-2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33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7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7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7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74">
        <v>51</v>
      </c>
      <c r="C19" s="174">
        <v>37</v>
      </c>
      <c r="D19" s="174">
        <v>1212</v>
      </c>
      <c r="E19" s="174">
        <v>108</v>
      </c>
      <c r="F19" s="174">
        <v>0</v>
      </c>
      <c r="G19" s="26">
        <v>0</v>
      </c>
      <c r="H19" s="174">
        <v>0</v>
      </c>
      <c r="I19" s="174">
        <v>0</v>
      </c>
      <c r="J19" s="27">
        <v>0</v>
      </c>
      <c r="K19" s="28">
        <v>0</v>
      </c>
      <c r="L19" s="28">
        <v>0</v>
      </c>
      <c r="M19" s="174">
        <v>65</v>
      </c>
      <c r="N19" s="28">
        <v>0</v>
      </c>
      <c r="O19" s="29">
        <v>2864</v>
      </c>
      <c r="P19" s="28">
        <v>23045</v>
      </c>
      <c r="Q19" s="28">
        <v>38</v>
      </c>
      <c r="R19" s="28">
        <v>40</v>
      </c>
      <c r="S19" s="174">
        <v>29095</v>
      </c>
      <c r="T19" s="174">
        <v>500</v>
      </c>
      <c r="U19" s="30">
        <v>1980</v>
      </c>
      <c r="V19" s="30">
        <v>43</v>
      </c>
      <c r="W19" s="29">
        <v>349</v>
      </c>
    </row>
    <row r="20" spans="1:28" s="31" customFormat="1" ht="12.75" x14ac:dyDescent="0.2">
      <c r="A20" s="5" t="s">
        <v>47</v>
      </c>
      <c r="B20" s="174">
        <v>250</v>
      </c>
      <c r="C20" s="174">
        <v>150</v>
      </c>
      <c r="D20" s="174">
        <v>1150</v>
      </c>
      <c r="E20" s="174">
        <v>800</v>
      </c>
      <c r="F20" s="174">
        <v>1</v>
      </c>
      <c r="G20" s="26">
        <v>0</v>
      </c>
      <c r="H20" s="174">
        <v>0</v>
      </c>
      <c r="I20" s="174">
        <v>2</v>
      </c>
      <c r="J20" s="27">
        <v>0</v>
      </c>
      <c r="K20" s="28">
        <v>0</v>
      </c>
      <c r="L20" s="28">
        <v>0</v>
      </c>
      <c r="M20" s="174">
        <v>0</v>
      </c>
      <c r="N20" s="28">
        <v>1</v>
      </c>
      <c r="O20" s="29">
        <v>0</v>
      </c>
      <c r="P20" s="28">
        <v>0</v>
      </c>
      <c r="Q20" s="28">
        <v>0</v>
      </c>
      <c r="R20" s="174">
        <v>0</v>
      </c>
      <c r="S20" s="174">
        <v>0</v>
      </c>
      <c r="T20" s="28">
        <v>0</v>
      </c>
      <c r="U20" s="28">
        <v>0</v>
      </c>
      <c r="V20" s="174">
        <v>0</v>
      </c>
      <c r="W20" s="29">
        <v>0</v>
      </c>
    </row>
    <row r="21" spans="1:28" s="31" customFormat="1" ht="12.75" x14ac:dyDescent="0.2">
      <c r="A21" s="5" t="s">
        <v>48</v>
      </c>
      <c r="B21" s="174">
        <v>278</v>
      </c>
      <c r="C21" s="174">
        <v>157</v>
      </c>
      <c r="D21" s="174">
        <v>1355</v>
      </c>
      <c r="E21" s="174">
        <v>805</v>
      </c>
      <c r="F21" s="174">
        <v>1</v>
      </c>
      <c r="G21" s="26">
        <v>0</v>
      </c>
      <c r="H21" s="174">
        <v>0</v>
      </c>
      <c r="I21" s="174">
        <v>2</v>
      </c>
      <c r="J21" s="27">
        <v>0</v>
      </c>
      <c r="K21" s="28">
        <v>0</v>
      </c>
      <c r="L21" s="28">
        <v>0</v>
      </c>
      <c r="M21" s="174">
        <v>0</v>
      </c>
      <c r="N21" s="28">
        <v>1</v>
      </c>
      <c r="O21" s="29">
        <v>0</v>
      </c>
      <c r="P21" s="28">
        <v>50</v>
      </c>
      <c r="Q21" s="28">
        <v>0</v>
      </c>
      <c r="R21" s="174">
        <v>0</v>
      </c>
      <c r="S21" s="174">
        <v>100</v>
      </c>
      <c r="T21" s="28">
        <v>0</v>
      </c>
      <c r="U21" s="28">
        <v>0</v>
      </c>
      <c r="V21" s="174">
        <v>0</v>
      </c>
      <c r="W21" s="29">
        <v>0</v>
      </c>
    </row>
    <row r="22" spans="1:28" s="31" customFormat="1" ht="12.75" x14ac:dyDescent="0.2">
      <c r="A22" s="25" t="s">
        <v>49</v>
      </c>
      <c r="B22" s="174">
        <v>23</v>
      </c>
      <c r="C22" s="174">
        <v>30</v>
      </c>
      <c r="D22" s="138">
        <v>1007</v>
      </c>
      <c r="E22" s="174">
        <v>103</v>
      </c>
      <c r="F22" s="174">
        <v>0</v>
      </c>
      <c r="G22" s="26">
        <v>0</v>
      </c>
      <c r="H22" s="174">
        <v>0</v>
      </c>
      <c r="I22" s="174">
        <v>0</v>
      </c>
      <c r="J22" s="27">
        <v>0</v>
      </c>
      <c r="K22" s="28">
        <v>0</v>
      </c>
      <c r="L22" s="28">
        <v>0</v>
      </c>
      <c r="M22" s="174">
        <v>65</v>
      </c>
      <c r="N22" s="174">
        <v>0</v>
      </c>
      <c r="O22" s="174">
        <v>2864</v>
      </c>
      <c r="P22" s="174">
        <v>22995</v>
      </c>
      <c r="Q22" s="174">
        <v>38</v>
      </c>
      <c r="R22" s="174">
        <v>40</v>
      </c>
      <c r="S22" s="174">
        <v>28995</v>
      </c>
      <c r="T22" s="174">
        <v>500</v>
      </c>
      <c r="U22" s="174">
        <v>1980</v>
      </c>
      <c r="V22" s="174">
        <v>43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71"/>
      <c r="J23" s="171"/>
      <c r="K23" s="171"/>
      <c r="L23" s="171"/>
      <c r="M23" s="171"/>
      <c r="N23" s="171"/>
      <c r="O23" s="171"/>
      <c r="P23" s="171"/>
      <c r="Q23" s="33"/>
      <c r="R23" s="33"/>
      <c r="S23" s="171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74">
        <v>0</v>
      </c>
      <c r="C25" s="174">
        <v>0</v>
      </c>
      <c r="D25" s="174">
        <v>0</v>
      </c>
      <c r="E25" s="27">
        <v>0</v>
      </c>
      <c r="F25" s="174">
        <v>0</v>
      </c>
      <c r="G25" s="32">
        <v>0</v>
      </c>
      <c r="H25" s="174">
        <v>0</v>
      </c>
      <c r="I25" s="32">
        <v>0</v>
      </c>
      <c r="J25" s="174">
        <v>0</v>
      </c>
      <c r="K25" s="174">
        <v>0</v>
      </c>
      <c r="L25" s="41">
        <v>0</v>
      </c>
      <c r="M25" s="27">
        <v>0</v>
      </c>
      <c r="N25" s="174">
        <v>0</v>
      </c>
      <c r="O25" s="174">
        <v>0</v>
      </c>
      <c r="P25" s="27">
        <v>0</v>
      </c>
      <c r="Q25" s="174">
        <v>0</v>
      </c>
      <c r="R25" s="174">
        <v>0</v>
      </c>
      <c r="S25" s="174">
        <v>0</v>
      </c>
      <c r="T25" s="174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74">
        <v>0</v>
      </c>
      <c r="C26" s="174">
        <v>0</v>
      </c>
      <c r="D26" s="174">
        <v>0</v>
      </c>
      <c r="E26" s="27">
        <v>0</v>
      </c>
      <c r="F26" s="174">
        <v>0</v>
      </c>
      <c r="G26" s="32">
        <v>0</v>
      </c>
      <c r="H26" s="174">
        <v>0</v>
      </c>
      <c r="I26" s="32">
        <v>0</v>
      </c>
      <c r="J26" s="174">
        <v>0</v>
      </c>
      <c r="K26" s="174">
        <v>0</v>
      </c>
      <c r="L26" s="41">
        <v>0</v>
      </c>
      <c r="M26" s="27">
        <v>0</v>
      </c>
      <c r="N26" s="174">
        <v>0</v>
      </c>
      <c r="O26" s="174">
        <v>0</v>
      </c>
      <c r="P26" s="27">
        <v>0</v>
      </c>
      <c r="Q26" s="174">
        <v>0</v>
      </c>
      <c r="R26" s="174">
        <v>0</v>
      </c>
      <c r="S26" s="174">
        <v>0</v>
      </c>
      <c r="T26" s="174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74">
        <v>0</v>
      </c>
      <c r="C27" s="174">
        <v>0</v>
      </c>
      <c r="D27" s="174">
        <v>0</v>
      </c>
      <c r="E27" s="27">
        <v>0</v>
      </c>
      <c r="F27" s="174">
        <v>0</v>
      </c>
      <c r="G27" s="32">
        <v>0</v>
      </c>
      <c r="H27" s="174">
        <v>0</v>
      </c>
      <c r="I27" s="32">
        <v>0</v>
      </c>
      <c r="J27" s="174">
        <v>0</v>
      </c>
      <c r="K27" s="174">
        <v>0</v>
      </c>
      <c r="L27" s="41">
        <v>0</v>
      </c>
      <c r="M27" s="27">
        <v>0</v>
      </c>
      <c r="N27" s="174">
        <v>0</v>
      </c>
      <c r="O27" s="174">
        <v>0</v>
      </c>
      <c r="P27" s="27">
        <v>0</v>
      </c>
      <c r="Q27" s="174">
        <v>0</v>
      </c>
      <c r="R27" s="174">
        <v>0</v>
      </c>
      <c r="S27" s="174">
        <v>0</v>
      </c>
      <c r="T27" s="174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74">
        <v>0</v>
      </c>
      <c r="C28" s="174">
        <v>0</v>
      </c>
      <c r="D28" s="174">
        <v>0</v>
      </c>
      <c r="E28" s="27">
        <v>0</v>
      </c>
      <c r="F28" s="174">
        <v>0</v>
      </c>
      <c r="G28" s="32">
        <v>0</v>
      </c>
      <c r="H28" s="174">
        <v>0</v>
      </c>
      <c r="I28" s="32">
        <v>0</v>
      </c>
      <c r="J28" s="174">
        <v>0</v>
      </c>
      <c r="K28" s="174">
        <v>0</v>
      </c>
      <c r="L28" s="41">
        <v>0</v>
      </c>
      <c r="M28" s="27">
        <v>0</v>
      </c>
      <c r="N28" s="174">
        <v>0</v>
      </c>
      <c r="O28" s="174">
        <v>0</v>
      </c>
      <c r="P28" s="27">
        <v>0</v>
      </c>
      <c r="Q28" s="174">
        <v>0</v>
      </c>
      <c r="R28" s="174">
        <v>0</v>
      </c>
      <c r="S28" s="174">
        <v>0</v>
      </c>
      <c r="T28" s="174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74">
        <v>1654</v>
      </c>
      <c r="C31" s="174">
        <v>1599</v>
      </c>
      <c r="D31" s="51">
        <v>8546</v>
      </c>
      <c r="E31" s="174">
        <v>9505</v>
      </c>
      <c r="F31" s="174">
        <v>639</v>
      </c>
      <c r="G31" s="174">
        <v>307</v>
      </c>
      <c r="H31" s="174">
        <v>5791</v>
      </c>
      <c r="I31" s="174">
        <v>828</v>
      </c>
      <c r="J31" s="174">
        <v>4859</v>
      </c>
      <c r="K31" s="174">
        <v>0</v>
      </c>
      <c r="L31" s="174">
        <v>315</v>
      </c>
      <c r="M31" s="28">
        <v>792</v>
      </c>
      <c r="N31" s="174">
        <v>4873</v>
      </c>
      <c r="O31" s="174">
        <v>1657</v>
      </c>
      <c r="P31" s="174">
        <v>122</v>
      </c>
      <c r="Q31" s="174">
        <v>7489</v>
      </c>
      <c r="R31" s="174">
        <v>6087</v>
      </c>
      <c r="S31" s="174">
        <v>8993</v>
      </c>
      <c r="T31" s="174">
        <v>3398</v>
      </c>
      <c r="U31" s="174">
        <v>4980</v>
      </c>
      <c r="V31" s="28">
        <v>3054</v>
      </c>
      <c r="W31" s="27">
        <v>17998</v>
      </c>
      <c r="X31" s="52">
        <v>1971</v>
      </c>
      <c r="Y31" s="52">
        <v>10750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74">
        <v>250</v>
      </c>
      <c r="C32" s="174">
        <v>150</v>
      </c>
      <c r="D32" s="55">
        <v>1150</v>
      </c>
      <c r="E32" s="55">
        <v>800</v>
      </c>
      <c r="F32" s="174">
        <v>1</v>
      </c>
      <c r="G32" s="174">
        <v>0</v>
      </c>
      <c r="H32" s="174">
        <v>0</v>
      </c>
      <c r="I32" s="174">
        <v>0</v>
      </c>
      <c r="J32" s="174">
        <v>0</v>
      </c>
      <c r="K32" s="174">
        <v>0</v>
      </c>
      <c r="L32" s="174">
        <v>0</v>
      </c>
      <c r="M32" s="28">
        <v>2</v>
      </c>
      <c r="N32" s="174">
        <v>1</v>
      </c>
      <c r="O32" s="174">
        <v>320</v>
      </c>
      <c r="P32" s="174">
        <v>0</v>
      </c>
      <c r="Q32" s="174">
        <v>0</v>
      </c>
      <c r="R32" s="174">
        <v>0</v>
      </c>
      <c r="S32" s="174">
        <v>2</v>
      </c>
      <c r="T32" s="174">
        <v>1</v>
      </c>
      <c r="U32" s="174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74">
        <v>0</v>
      </c>
      <c r="C33" s="174">
        <v>0</v>
      </c>
      <c r="D33" s="174">
        <v>0</v>
      </c>
      <c r="E33" s="32">
        <v>0</v>
      </c>
      <c r="F33" s="174">
        <v>0</v>
      </c>
      <c r="G33" s="174">
        <v>0</v>
      </c>
      <c r="H33" s="174">
        <v>0</v>
      </c>
      <c r="I33" s="174">
        <v>0</v>
      </c>
      <c r="J33" s="174">
        <v>0</v>
      </c>
      <c r="K33" s="174">
        <v>0</v>
      </c>
      <c r="L33" s="174">
        <v>0</v>
      </c>
      <c r="M33" s="28">
        <v>0</v>
      </c>
      <c r="N33" s="174">
        <v>0</v>
      </c>
      <c r="O33" s="32">
        <v>0</v>
      </c>
      <c r="P33" s="174">
        <v>0</v>
      </c>
      <c r="Q33" s="174">
        <v>0</v>
      </c>
      <c r="R33" s="174">
        <v>0</v>
      </c>
      <c r="S33" s="174">
        <v>0</v>
      </c>
      <c r="T33" s="17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74">
        <v>1404</v>
      </c>
      <c r="C34" s="28">
        <v>1449</v>
      </c>
      <c r="D34" s="174">
        <v>7396</v>
      </c>
      <c r="E34" s="174">
        <v>8705</v>
      </c>
      <c r="F34" s="174">
        <v>638</v>
      </c>
      <c r="G34" s="174">
        <v>307</v>
      </c>
      <c r="H34" s="174">
        <v>5791</v>
      </c>
      <c r="I34" s="174">
        <v>828</v>
      </c>
      <c r="J34" s="174">
        <v>4859</v>
      </c>
      <c r="K34" s="174">
        <f>K31-K32-K33</f>
        <v>0</v>
      </c>
      <c r="L34" s="174">
        <v>315</v>
      </c>
      <c r="M34" s="28">
        <v>790</v>
      </c>
      <c r="N34" s="174">
        <v>4872</v>
      </c>
      <c r="O34" s="174">
        <v>1337</v>
      </c>
      <c r="P34" s="174">
        <v>122</v>
      </c>
      <c r="Q34" s="174">
        <f>Q31-Q32-Q33</f>
        <v>7489</v>
      </c>
      <c r="R34" s="174">
        <f>R31-R32-R33</f>
        <v>6087</v>
      </c>
      <c r="S34" s="174">
        <v>8991</v>
      </c>
      <c r="T34" s="174">
        <v>3397</v>
      </c>
      <c r="U34" s="174">
        <v>4980</v>
      </c>
      <c r="V34" s="28">
        <v>3054</v>
      </c>
      <c r="W34" s="174">
        <v>17998</v>
      </c>
      <c r="X34" s="52">
        <v>1971</v>
      </c>
      <c r="Y34" s="52">
        <v>10750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87023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1336113.72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1222181.72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71"/>
      <c r="H39" s="211" t="s">
        <v>96</v>
      </c>
      <c r="I39" s="211"/>
      <c r="J39" s="258"/>
      <c r="K39" s="259">
        <v>55549.96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58382.04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73" t="s">
        <v>99</v>
      </c>
      <c r="E43" s="253" t="s">
        <v>100</v>
      </c>
      <c r="F43" s="253"/>
      <c r="G43" s="253"/>
      <c r="H43" s="172" t="s">
        <v>99</v>
      </c>
      <c r="I43" s="17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73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79312</v>
      </c>
      <c r="C44" s="65">
        <v>79359</v>
      </c>
      <c r="D44" s="64">
        <v>3150</v>
      </c>
      <c r="E44" s="66">
        <v>79296</v>
      </c>
      <c r="F44" s="257">
        <v>79311</v>
      </c>
      <c r="G44" s="257"/>
      <c r="H44" s="67">
        <v>690</v>
      </c>
      <c r="I44" s="68">
        <v>60</v>
      </c>
      <c r="J44" s="248" t="s">
        <v>104</v>
      </c>
      <c r="K44" s="248"/>
      <c r="L44" s="248"/>
      <c r="M44" s="248"/>
      <c r="N44" s="248"/>
      <c r="O44" s="69">
        <v>80</v>
      </c>
      <c r="P44" s="63">
        <v>100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71" t="s">
        <v>107</v>
      </c>
      <c r="E50" s="242">
        <v>10922</v>
      </c>
      <c r="F50" s="243"/>
      <c r="G50" s="243"/>
      <c r="H50" s="244"/>
      <c r="I50" s="1"/>
      <c r="J50" s="211" t="s">
        <v>108</v>
      </c>
      <c r="K50" s="211"/>
      <c r="L50" s="212"/>
      <c r="M50" s="218">
        <v>32745809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71" t="s">
        <v>109</v>
      </c>
      <c r="E51" s="242">
        <v>1950642</v>
      </c>
      <c r="F51" s="243"/>
      <c r="G51" s="243"/>
      <c r="H51" s="244"/>
      <c r="I51" s="1"/>
      <c r="J51" s="211" t="s">
        <v>110</v>
      </c>
      <c r="K51" s="211"/>
      <c r="L51" s="212"/>
      <c r="M51" s="218">
        <v>57408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1961564</v>
      </c>
      <c r="F52" s="249"/>
      <c r="G52" s="249"/>
      <c r="H52" s="249"/>
      <c r="I52" s="1"/>
      <c r="J52" s="211" t="s">
        <v>112</v>
      </c>
      <c r="K52" s="211"/>
      <c r="L52" s="212"/>
      <c r="M52" s="250">
        <v>1950642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287755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115884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34351288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34351288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F15" sqref="F15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157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67" t="s">
        <v>6</v>
      </c>
      <c r="J5" s="168"/>
      <c r="K5" s="168"/>
      <c r="L5" s="168"/>
      <c r="M5" s="293">
        <v>0.113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66">
        <v>20211</v>
      </c>
      <c r="E7" s="11"/>
      <c r="G7" s="12"/>
      <c r="H7" s="13"/>
      <c r="I7" s="278" t="s">
        <v>13</v>
      </c>
      <c r="J7" s="278"/>
      <c r="K7" s="278"/>
      <c r="L7" s="278"/>
      <c r="M7" s="290">
        <v>700</v>
      </c>
      <c r="N7" s="290"/>
      <c r="O7" s="291">
        <v>0.04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33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69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69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63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66">
        <v>59</v>
      </c>
      <c r="C19" s="166">
        <v>89</v>
      </c>
      <c r="D19" s="166">
        <v>781</v>
      </c>
      <c r="E19" s="166">
        <v>23</v>
      </c>
      <c r="F19" s="166">
        <v>0</v>
      </c>
      <c r="G19" s="26">
        <v>0</v>
      </c>
      <c r="H19" s="166">
        <v>0</v>
      </c>
      <c r="I19" s="166">
        <v>0</v>
      </c>
      <c r="J19" s="27">
        <v>0</v>
      </c>
      <c r="K19" s="28">
        <v>0</v>
      </c>
      <c r="L19" s="28">
        <v>0</v>
      </c>
      <c r="M19" s="166">
        <v>65</v>
      </c>
      <c r="N19" s="28">
        <v>0</v>
      </c>
      <c r="O19" s="29">
        <v>2864</v>
      </c>
      <c r="P19" s="28">
        <v>23265</v>
      </c>
      <c r="Q19" s="28">
        <v>38</v>
      </c>
      <c r="R19" s="28">
        <v>40</v>
      </c>
      <c r="S19" s="166">
        <v>29115</v>
      </c>
      <c r="T19" s="166">
        <v>500</v>
      </c>
      <c r="U19" s="30">
        <v>1980</v>
      </c>
      <c r="V19" s="30">
        <v>43</v>
      </c>
      <c r="W19" s="29">
        <v>349</v>
      </c>
    </row>
    <row r="20" spans="1:28" s="31" customFormat="1" ht="12.75" x14ac:dyDescent="0.2">
      <c r="A20" s="5" t="s">
        <v>47</v>
      </c>
      <c r="B20" s="166">
        <v>100</v>
      </c>
      <c r="C20" s="166">
        <v>0</v>
      </c>
      <c r="D20" s="166">
        <v>800</v>
      </c>
      <c r="E20" s="166">
        <v>500</v>
      </c>
      <c r="F20" s="166">
        <v>4</v>
      </c>
      <c r="G20" s="26">
        <v>0</v>
      </c>
      <c r="H20" s="166">
        <v>0</v>
      </c>
      <c r="I20" s="166">
        <v>0</v>
      </c>
      <c r="J20" s="27">
        <v>0</v>
      </c>
      <c r="K20" s="28">
        <v>0</v>
      </c>
      <c r="L20" s="28">
        <v>0</v>
      </c>
      <c r="M20" s="166">
        <v>0</v>
      </c>
      <c r="N20" s="28">
        <v>0</v>
      </c>
      <c r="O20" s="29">
        <v>0</v>
      </c>
      <c r="P20" s="28">
        <v>0</v>
      </c>
      <c r="Q20" s="28">
        <v>0</v>
      </c>
      <c r="R20" s="166">
        <v>0</v>
      </c>
      <c r="S20" s="166">
        <v>0</v>
      </c>
      <c r="T20" s="28">
        <v>0</v>
      </c>
      <c r="U20" s="28">
        <v>0</v>
      </c>
      <c r="V20" s="166">
        <v>0</v>
      </c>
      <c r="W20" s="29">
        <v>0</v>
      </c>
    </row>
    <row r="21" spans="1:28" s="31" customFormat="1" ht="12.75" x14ac:dyDescent="0.2">
      <c r="A21" s="5" t="s">
        <v>48</v>
      </c>
      <c r="B21" s="166">
        <v>108</v>
      </c>
      <c r="C21" s="166">
        <v>52</v>
      </c>
      <c r="D21" s="166">
        <v>369</v>
      </c>
      <c r="E21" s="166">
        <v>415</v>
      </c>
      <c r="F21" s="166">
        <v>4</v>
      </c>
      <c r="G21" s="26">
        <v>0</v>
      </c>
      <c r="H21" s="166">
        <v>0</v>
      </c>
      <c r="I21" s="166">
        <v>0</v>
      </c>
      <c r="J21" s="27">
        <v>0</v>
      </c>
      <c r="K21" s="28">
        <v>0</v>
      </c>
      <c r="L21" s="28">
        <v>0</v>
      </c>
      <c r="M21" s="166">
        <v>0</v>
      </c>
      <c r="N21" s="28">
        <v>0</v>
      </c>
      <c r="O21" s="29">
        <v>0</v>
      </c>
      <c r="P21" s="28">
        <v>220</v>
      </c>
      <c r="Q21" s="28">
        <v>0</v>
      </c>
      <c r="R21" s="166">
        <v>0</v>
      </c>
      <c r="S21" s="166">
        <v>20</v>
      </c>
      <c r="T21" s="28">
        <v>0</v>
      </c>
      <c r="U21" s="28">
        <v>0</v>
      </c>
      <c r="V21" s="166">
        <v>0</v>
      </c>
      <c r="W21" s="29">
        <v>0</v>
      </c>
    </row>
    <row r="22" spans="1:28" s="31" customFormat="1" ht="12.75" x14ac:dyDescent="0.2">
      <c r="A22" s="25" t="s">
        <v>49</v>
      </c>
      <c r="B22" s="166">
        <v>51</v>
      </c>
      <c r="C22" s="166">
        <v>37</v>
      </c>
      <c r="D22" s="138">
        <v>1212</v>
      </c>
      <c r="E22" s="166">
        <v>108</v>
      </c>
      <c r="F22" s="166">
        <v>0</v>
      </c>
      <c r="G22" s="26">
        <v>0</v>
      </c>
      <c r="H22" s="166">
        <v>0</v>
      </c>
      <c r="I22" s="166">
        <v>0</v>
      </c>
      <c r="J22" s="27">
        <v>0</v>
      </c>
      <c r="K22" s="28">
        <v>0</v>
      </c>
      <c r="L22" s="28">
        <v>0</v>
      </c>
      <c r="M22" s="166">
        <v>65</v>
      </c>
      <c r="N22" s="166">
        <v>0</v>
      </c>
      <c r="O22" s="166">
        <v>2864</v>
      </c>
      <c r="P22" s="166">
        <v>23045</v>
      </c>
      <c r="Q22" s="166">
        <v>38</v>
      </c>
      <c r="R22" s="166">
        <v>40</v>
      </c>
      <c r="S22" s="166">
        <v>29095</v>
      </c>
      <c r="T22" s="166">
        <v>500</v>
      </c>
      <c r="U22" s="166">
        <v>1980</v>
      </c>
      <c r="V22" s="166">
        <v>43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63"/>
      <c r="J23" s="163"/>
      <c r="K23" s="163"/>
      <c r="L23" s="163"/>
      <c r="M23" s="163"/>
      <c r="N23" s="163"/>
      <c r="O23" s="163"/>
      <c r="P23" s="163"/>
      <c r="Q23" s="33"/>
      <c r="R23" s="33"/>
      <c r="S23" s="163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66">
        <v>0</v>
      </c>
      <c r="C25" s="166">
        <v>0</v>
      </c>
      <c r="D25" s="166">
        <v>0</v>
      </c>
      <c r="E25" s="27">
        <v>0</v>
      </c>
      <c r="F25" s="166">
        <v>0</v>
      </c>
      <c r="G25" s="32">
        <v>0</v>
      </c>
      <c r="H25" s="166">
        <v>0</v>
      </c>
      <c r="I25" s="32">
        <v>0</v>
      </c>
      <c r="J25" s="166">
        <v>0</v>
      </c>
      <c r="K25" s="166">
        <v>0</v>
      </c>
      <c r="L25" s="41">
        <v>0</v>
      </c>
      <c r="M25" s="27">
        <v>0</v>
      </c>
      <c r="N25" s="166">
        <v>0</v>
      </c>
      <c r="O25" s="166">
        <v>0</v>
      </c>
      <c r="P25" s="27">
        <v>0</v>
      </c>
      <c r="Q25" s="166">
        <v>0</v>
      </c>
      <c r="R25" s="166">
        <v>0</v>
      </c>
      <c r="S25" s="166">
        <v>0</v>
      </c>
      <c r="T25" s="166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66">
        <v>0</v>
      </c>
      <c r="C26" s="166">
        <v>0</v>
      </c>
      <c r="D26" s="166">
        <v>0</v>
      </c>
      <c r="E26" s="27">
        <v>0</v>
      </c>
      <c r="F26" s="166">
        <v>0</v>
      </c>
      <c r="G26" s="32">
        <v>0</v>
      </c>
      <c r="H26" s="170">
        <v>0</v>
      </c>
      <c r="I26" s="32">
        <v>0</v>
      </c>
      <c r="J26" s="170">
        <v>0</v>
      </c>
      <c r="K26" s="170">
        <v>0</v>
      </c>
      <c r="L26" s="41">
        <v>0</v>
      </c>
      <c r="M26" s="27">
        <v>0</v>
      </c>
      <c r="N26" s="170">
        <v>0</v>
      </c>
      <c r="O26" s="170">
        <v>0</v>
      </c>
      <c r="P26" s="27">
        <v>0</v>
      </c>
      <c r="Q26" s="170">
        <v>0</v>
      </c>
      <c r="R26" s="166">
        <v>0</v>
      </c>
      <c r="S26" s="166">
        <v>0</v>
      </c>
      <c r="T26" s="166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66">
        <v>0</v>
      </c>
      <c r="C27" s="166">
        <v>0</v>
      </c>
      <c r="D27" s="166">
        <v>0</v>
      </c>
      <c r="E27" s="27">
        <v>0</v>
      </c>
      <c r="F27" s="166">
        <v>0</v>
      </c>
      <c r="G27" s="32">
        <v>0</v>
      </c>
      <c r="H27" s="170">
        <v>0</v>
      </c>
      <c r="I27" s="32">
        <v>0</v>
      </c>
      <c r="J27" s="170">
        <v>0</v>
      </c>
      <c r="K27" s="170">
        <v>0</v>
      </c>
      <c r="L27" s="41">
        <v>0</v>
      </c>
      <c r="M27" s="27">
        <v>0</v>
      </c>
      <c r="N27" s="170">
        <v>0</v>
      </c>
      <c r="O27" s="170">
        <v>0</v>
      </c>
      <c r="P27" s="27">
        <v>0</v>
      </c>
      <c r="Q27" s="170">
        <v>0</v>
      </c>
      <c r="R27" s="166">
        <v>0</v>
      </c>
      <c r="S27" s="166">
        <v>0</v>
      </c>
      <c r="T27" s="166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66">
        <v>0</v>
      </c>
      <c r="C28" s="166">
        <v>0</v>
      </c>
      <c r="D28" s="166">
        <v>0</v>
      </c>
      <c r="E28" s="27">
        <v>0</v>
      </c>
      <c r="F28" s="166">
        <v>0</v>
      </c>
      <c r="G28" s="32">
        <v>0</v>
      </c>
      <c r="H28" s="166">
        <v>0</v>
      </c>
      <c r="I28" s="32">
        <v>0</v>
      </c>
      <c r="J28" s="166">
        <v>0</v>
      </c>
      <c r="K28" s="166">
        <v>0</v>
      </c>
      <c r="L28" s="41">
        <v>0</v>
      </c>
      <c r="M28" s="27">
        <v>0</v>
      </c>
      <c r="N28" s="166">
        <v>0</v>
      </c>
      <c r="O28" s="166">
        <v>0</v>
      </c>
      <c r="P28" s="27">
        <v>0</v>
      </c>
      <c r="Q28" s="166">
        <v>0</v>
      </c>
      <c r="R28" s="166">
        <v>0</v>
      </c>
      <c r="S28" s="166">
        <v>0</v>
      </c>
      <c r="T28" s="166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66">
        <v>1754</v>
      </c>
      <c r="C31" s="166">
        <v>1599</v>
      </c>
      <c r="D31" s="51">
        <v>9346</v>
      </c>
      <c r="E31" s="166">
        <v>10005</v>
      </c>
      <c r="F31" s="166">
        <v>643</v>
      </c>
      <c r="G31" s="166">
        <v>307</v>
      </c>
      <c r="H31" s="166">
        <v>5791</v>
      </c>
      <c r="I31" s="166">
        <v>828</v>
      </c>
      <c r="J31" s="166">
        <v>4859</v>
      </c>
      <c r="K31" s="166">
        <v>0</v>
      </c>
      <c r="L31" s="166">
        <v>315</v>
      </c>
      <c r="M31" s="28">
        <v>792</v>
      </c>
      <c r="N31" s="166">
        <v>4873</v>
      </c>
      <c r="O31" s="166">
        <v>1757</v>
      </c>
      <c r="P31" s="166">
        <v>122</v>
      </c>
      <c r="Q31" s="166">
        <v>7489</v>
      </c>
      <c r="R31" s="166">
        <v>6087</v>
      </c>
      <c r="S31" s="166">
        <v>8993</v>
      </c>
      <c r="T31" s="166">
        <v>3398</v>
      </c>
      <c r="U31" s="166">
        <v>4980</v>
      </c>
      <c r="V31" s="28">
        <v>3056</v>
      </c>
      <c r="W31" s="27">
        <v>17998</v>
      </c>
      <c r="X31" s="52">
        <v>1971</v>
      </c>
      <c r="Y31" s="52">
        <v>10750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66">
        <v>100</v>
      </c>
      <c r="C32" s="166">
        <v>0</v>
      </c>
      <c r="D32" s="55">
        <v>800</v>
      </c>
      <c r="E32" s="55">
        <v>500</v>
      </c>
      <c r="F32" s="166">
        <v>4</v>
      </c>
      <c r="G32" s="166">
        <v>0</v>
      </c>
      <c r="H32" s="166">
        <v>0</v>
      </c>
      <c r="I32" s="166">
        <v>0</v>
      </c>
      <c r="J32" s="166">
        <v>0</v>
      </c>
      <c r="K32" s="166">
        <v>0</v>
      </c>
      <c r="L32" s="166">
        <v>0</v>
      </c>
      <c r="M32" s="28">
        <v>0</v>
      </c>
      <c r="N32" s="166">
        <v>1</v>
      </c>
      <c r="O32" s="166">
        <v>100</v>
      </c>
      <c r="P32" s="166">
        <v>0</v>
      </c>
      <c r="Q32" s="166">
        <v>0</v>
      </c>
      <c r="R32" s="166">
        <v>0</v>
      </c>
      <c r="S32" s="166">
        <v>2</v>
      </c>
      <c r="T32" s="166">
        <v>1</v>
      </c>
      <c r="U32" s="166">
        <v>0</v>
      </c>
      <c r="V32" s="28">
        <v>4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66">
        <v>0</v>
      </c>
      <c r="C33" s="166">
        <v>0</v>
      </c>
      <c r="D33" s="166">
        <v>0</v>
      </c>
      <c r="E33" s="32">
        <v>0</v>
      </c>
      <c r="F33" s="166">
        <v>0</v>
      </c>
      <c r="G33" s="166">
        <v>0</v>
      </c>
      <c r="H33" s="166">
        <v>0</v>
      </c>
      <c r="I33" s="166">
        <v>0</v>
      </c>
      <c r="J33" s="166">
        <v>0</v>
      </c>
      <c r="K33" s="166">
        <v>0</v>
      </c>
      <c r="L33" s="166">
        <v>0</v>
      </c>
      <c r="M33" s="28">
        <v>0</v>
      </c>
      <c r="N33" s="166">
        <v>0</v>
      </c>
      <c r="O33" s="32">
        <v>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66">
        <v>1654</v>
      </c>
      <c r="C34" s="28">
        <v>1599</v>
      </c>
      <c r="D34" s="166">
        <v>8546</v>
      </c>
      <c r="E34" s="166">
        <v>9505</v>
      </c>
      <c r="F34" s="166">
        <v>639</v>
      </c>
      <c r="G34" s="166">
        <v>307</v>
      </c>
      <c r="H34" s="166">
        <v>5791</v>
      </c>
      <c r="I34" s="166">
        <v>828</v>
      </c>
      <c r="J34" s="166">
        <v>4859</v>
      </c>
      <c r="K34" s="166">
        <f>K31-K32-K33</f>
        <v>0</v>
      </c>
      <c r="L34" s="166">
        <v>315</v>
      </c>
      <c r="M34" s="28">
        <v>792</v>
      </c>
      <c r="N34" s="166">
        <v>4872</v>
      </c>
      <c r="O34" s="166">
        <v>1657</v>
      </c>
      <c r="P34" s="166">
        <v>122</v>
      </c>
      <c r="Q34" s="166">
        <f>Q31-Q32-Q33</f>
        <v>7489</v>
      </c>
      <c r="R34" s="166">
        <f>R31-R32-R33</f>
        <v>6087</v>
      </c>
      <c r="S34" s="166">
        <v>8991</v>
      </c>
      <c r="T34" s="166">
        <v>3397</v>
      </c>
      <c r="U34" s="166">
        <v>4980</v>
      </c>
      <c r="V34" s="28">
        <v>3054</v>
      </c>
      <c r="W34" s="166">
        <v>17998</v>
      </c>
      <c r="X34" s="52">
        <v>1971</v>
      </c>
      <c r="Y34" s="52">
        <v>10750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226949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1198644.6200000001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1011696.62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63"/>
      <c r="H39" s="211" t="s">
        <v>96</v>
      </c>
      <c r="I39" s="211"/>
      <c r="J39" s="258"/>
      <c r="K39" s="259">
        <v>67040.960000000006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119907.04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65" t="s">
        <v>99</v>
      </c>
      <c r="E43" s="253" t="s">
        <v>100</v>
      </c>
      <c r="F43" s="253"/>
      <c r="G43" s="253"/>
      <c r="H43" s="164" t="s">
        <v>99</v>
      </c>
      <c r="I43" s="165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65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79241</v>
      </c>
      <c r="C44" s="65">
        <v>79295</v>
      </c>
      <c r="D44" s="64">
        <v>3230</v>
      </c>
      <c r="E44" s="66">
        <v>79228</v>
      </c>
      <c r="F44" s="257">
        <v>79240</v>
      </c>
      <c r="G44" s="257"/>
      <c r="H44" s="67">
        <v>60</v>
      </c>
      <c r="I44" s="68">
        <v>270</v>
      </c>
      <c r="J44" s="248" t="s">
        <v>104</v>
      </c>
      <c r="K44" s="248"/>
      <c r="L44" s="248"/>
      <c r="M44" s="248"/>
      <c r="N44" s="248"/>
      <c r="O44" s="69">
        <v>80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63" t="s">
        <v>107</v>
      </c>
      <c r="E50" s="242">
        <v>29067</v>
      </c>
      <c r="F50" s="243"/>
      <c r="G50" s="243"/>
      <c r="H50" s="244"/>
      <c r="I50" s="1"/>
      <c r="J50" s="211" t="s">
        <v>108</v>
      </c>
      <c r="K50" s="211"/>
      <c r="L50" s="212"/>
      <c r="M50" s="218">
        <v>32118337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63" t="s">
        <v>109</v>
      </c>
      <c r="E51" s="242">
        <v>661300</v>
      </c>
      <c r="F51" s="243"/>
      <c r="G51" s="243"/>
      <c r="H51" s="244"/>
      <c r="I51" s="1"/>
      <c r="J51" s="211" t="s">
        <v>110</v>
      </c>
      <c r="K51" s="211"/>
      <c r="L51" s="212"/>
      <c r="M51" s="218">
        <v>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690367</v>
      </c>
      <c r="F52" s="249"/>
      <c r="G52" s="249"/>
      <c r="H52" s="249"/>
      <c r="I52" s="1"/>
      <c r="J52" s="211" t="s">
        <v>112</v>
      </c>
      <c r="K52" s="211"/>
      <c r="L52" s="212"/>
      <c r="M52" s="250">
        <v>655577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28105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1675253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32745809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32745809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A6" sqref="A6:C6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154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59" t="s">
        <v>6</v>
      </c>
      <c r="J5" s="160"/>
      <c r="K5" s="160"/>
      <c r="L5" s="160"/>
      <c r="M5" s="293">
        <v>0.11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58">
        <v>20671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61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61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55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58">
        <v>3</v>
      </c>
      <c r="C19" s="158">
        <v>19</v>
      </c>
      <c r="D19" s="158">
        <v>939</v>
      </c>
      <c r="E19" s="158">
        <v>213</v>
      </c>
      <c r="F19" s="158">
        <v>0</v>
      </c>
      <c r="G19" s="26">
        <v>0</v>
      </c>
      <c r="H19" s="158">
        <v>0</v>
      </c>
      <c r="I19" s="158">
        <v>0</v>
      </c>
      <c r="J19" s="27">
        <v>0</v>
      </c>
      <c r="K19" s="28">
        <v>0</v>
      </c>
      <c r="L19" s="28">
        <v>0</v>
      </c>
      <c r="M19" s="158">
        <v>68</v>
      </c>
      <c r="N19" s="28">
        <v>0</v>
      </c>
      <c r="O19" s="29">
        <v>2864</v>
      </c>
      <c r="P19" s="28">
        <v>42215</v>
      </c>
      <c r="Q19" s="28">
        <v>38</v>
      </c>
      <c r="R19" s="28">
        <v>40</v>
      </c>
      <c r="S19" s="158">
        <v>29475</v>
      </c>
      <c r="T19" s="158">
        <v>500</v>
      </c>
      <c r="U19" s="30">
        <v>3180</v>
      </c>
      <c r="V19" s="30">
        <v>104</v>
      </c>
      <c r="W19" s="29">
        <v>349</v>
      </c>
    </row>
    <row r="20" spans="1:28" s="31" customFormat="1" ht="12.75" x14ac:dyDescent="0.2">
      <c r="A20" s="5" t="s">
        <v>47</v>
      </c>
      <c r="B20" s="158">
        <v>94</v>
      </c>
      <c r="C20" s="158">
        <v>100</v>
      </c>
      <c r="D20" s="158">
        <v>1288</v>
      </c>
      <c r="E20" s="158">
        <v>400</v>
      </c>
      <c r="F20" s="158">
        <v>2</v>
      </c>
      <c r="G20" s="26">
        <v>31</v>
      </c>
      <c r="H20" s="158">
        <v>70</v>
      </c>
      <c r="I20" s="158">
        <v>0</v>
      </c>
      <c r="J20" s="27">
        <v>11</v>
      </c>
      <c r="K20" s="28">
        <v>0</v>
      </c>
      <c r="L20" s="28">
        <v>1</v>
      </c>
      <c r="M20" s="158">
        <v>0</v>
      </c>
      <c r="N20" s="28">
        <v>0</v>
      </c>
      <c r="O20" s="29">
        <v>0</v>
      </c>
      <c r="P20" s="28">
        <v>0</v>
      </c>
      <c r="Q20" s="28">
        <v>0</v>
      </c>
      <c r="R20" s="158">
        <v>0</v>
      </c>
      <c r="S20" s="158">
        <v>0</v>
      </c>
      <c r="T20" s="28">
        <v>0</v>
      </c>
      <c r="U20" s="28">
        <v>0</v>
      </c>
      <c r="V20" s="158">
        <v>0</v>
      </c>
      <c r="W20" s="29">
        <v>0</v>
      </c>
    </row>
    <row r="21" spans="1:28" s="31" customFormat="1" ht="12.75" x14ac:dyDescent="0.2">
      <c r="A21" s="5" t="s">
        <v>48</v>
      </c>
      <c r="B21" s="158">
        <v>39</v>
      </c>
      <c r="C21" s="158">
        <v>30</v>
      </c>
      <c r="D21" s="158">
        <v>1446</v>
      </c>
      <c r="E21" s="158">
        <v>590</v>
      </c>
      <c r="F21" s="158">
        <v>452</v>
      </c>
      <c r="G21" s="26">
        <v>31</v>
      </c>
      <c r="H21" s="158">
        <v>70</v>
      </c>
      <c r="I21" s="158">
        <v>0</v>
      </c>
      <c r="J21" s="27">
        <v>11</v>
      </c>
      <c r="K21" s="28">
        <v>0</v>
      </c>
      <c r="L21" s="28">
        <v>1</v>
      </c>
      <c r="M21" s="158">
        <v>3</v>
      </c>
      <c r="N21" s="28">
        <v>0</v>
      </c>
      <c r="O21" s="29">
        <v>0</v>
      </c>
      <c r="P21" s="28">
        <v>23950</v>
      </c>
      <c r="Q21" s="28">
        <v>0</v>
      </c>
      <c r="R21" s="158">
        <v>0</v>
      </c>
      <c r="S21" s="158">
        <v>360</v>
      </c>
      <c r="T21" s="28">
        <v>0</v>
      </c>
      <c r="U21" s="28">
        <v>1200</v>
      </c>
      <c r="V21" s="158">
        <v>61</v>
      </c>
      <c r="W21" s="29">
        <v>0</v>
      </c>
    </row>
    <row r="22" spans="1:28" s="31" customFormat="1" ht="12.75" x14ac:dyDescent="0.2">
      <c r="A22" s="25" t="s">
        <v>49</v>
      </c>
      <c r="B22" s="162" t="s">
        <v>155</v>
      </c>
      <c r="C22" s="158">
        <v>89</v>
      </c>
      <c r="D22" s="138">
        <v>781</v>
      </c>
      <c r="E22" s="158">
        <v>23</v>
      </c>
      <c r="F22" s="158">
        <v>0</v>
      </c>
      <c r="G22" s="26">
        <v>0</v>
      </c>
      <c r="H22" s="158">
        <v>0</v>
      </c>
      <c r="I22" s="158">
        <v>0</v>
      </c>
      <c r="J22" s="27">
        <v>0</v>
      </c>
      <c r="K22" s="28">
        <v>0</v>
      </c>
      <c r="L22" s="28">
        <v>0</v>
      </c>
      <c r="M22" s="158">
        <v>65</v>
      </c>
      <c r="N22" s="158">
        <v>0</v>
      </c>
      <c r="O22" s="158">
        <v>2864</v>
      </c>
      <c r="P22" s="158">
        <v>23265</v>
      </c>
      <c r="Q22" s="158">
        <v>38</v>
      </c>
      <c r="R22" s="158">
        <v>40</v>
      </c>
      <c r="S22" s="158">
        <v>29115</v>
      </c>
      <c r="T22" s="158">
        <v>500</v>
      </c>
      <c r="U22" s="158">
        <v>1980</v>
      </c>
      <c r="V22" s="158">
        <v>43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55"/>
      <c r="J23" s="155"/>
      <c r="K23" s="155"/>
      <c r="L23" s="155"/>
      <c r="M23" s="155"/>
      <c r="N23" s="155"/>
      <c r="O23" s="155"/>
      <c r="P23" s="155"/>
      <c r="Q23" s="33"/>
      <c r="R23" s="33"/>
      <c r="S23" s="155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58">
        <v>0</v>
      </c>
      <c r="C25" s="158">
        <v>0</v>
      </c>
      <c r="D25" s="158">
        <v>0</v>
      </c>
      <c r="E25" s="27">
        <v>0</v>
      </c>
      <c r="F25" s="158">
        <v>0</v>
      </c>
      <c r="G25" s="32">
        <v>0</v>
      </c>
      <c r="H25" s="158">
        <v>0</v>
      </c>
      <c r="I25" s="32">
        <v>0</v>
      </c>
      <c r="J25" s="158">
        <v>0</v>
      </c>
      <c r="K25" s="158">
        <v>0</v>
      </c>
      <c r="L25" s="41">
        <v>0</v>
      </c>
      <c r="M25" s="27">
        <v>0</v>
      </c>
      <c r="N25" s="158">
        <v>0</v>
      </c>
      <c r="O25" s="158">
        <v>0</v>
      </c>
      <c r="P25" s="27">
        <v>0</v>
      </c>
      <c r="Q25" s="158">
        <v>0</v>
      </c>
      <c r="R25" s="158">
        <v>0</v>
      </c>
      <c r="S25" s="158">
        <v>0</v>
      </c>
      <c r="T25" s="158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58">
        <v>0</v>
      </c>
      <c r="C26" s="158">
        <v>0</v>
      </c>
      <c r="D26" s="158">
        <v>0</v>
      </c>
      <c r="E26" s="27">
        <v>0</v>
      </c>
      <c r="F26" s="158">
        <v>0</v>
      </c>
      <c r="G26" s="32">
        <v>0</v>
      </c>
      <c r="H26" s="158">
        <v>0</v>
      </c>
      <c r="I26" s="32">
        <v>0</v>
      </c>
      <c r="J26" s="158">
        <v>34</v>
      </c>
      <c r="K26" s="158">
        <v>23</v>
      </c>
      <c r="L26" s="41">
        <v>0</v>
      </c>
      <c r="M26" s="27">
        <v>12</v>
      </c>
      <c r="N26" s="158">
        <v>40</v>
      </c>
      <c r="O26" s="158">
        <v>0</v>
      </c>
      <c r="P26" s="27">
        <v>0</v>
      </c>
      <c r="Q26" s="158">
        <v>0</v>
      </c>
      <c r="R26" s="158">
        <v>0</v>
      </c>
      <c r="S26" s="158">
        <v>0</v>
      </c>
      <c r="T26" s="158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58">
        <v>0</v>
      </c>
      <c r="C27" s="158">
        <v>0</v>
      </c>
      <c r="D27" s="158">
        <v>0</v>
      </c>
      <c r="E27" s="27">
        <v>0</v>
      </c>
      <c r="F27" s="158">
        <v>0</v>
      </c>
      <c r="G27" s="32">
        <v>0</v>
      </c>
      <c r="H27" s="158">
        <v>0</v>
      </c>
      <c r="I27" s="32">
        <v>0</v>
      </c>
      <c r="J27" s="158">
        <v>34</v>
      </c>
      <c r="K27" s="158">
        <v>23</v>
      </c>
      <c r="L27" s="41">
        <v>0</v>
      </c>
      <c r="M27" s="27">
        <v>12</v>
      </c>
      <c r="N27" s="158">
        <v>40</v>
      </c>
      <c r="O27" s="158">
        <v>0</v>
      </c>
      <c r="P27" s="27">
        <v>0</v>
      </c>
      <c r="Q27" s="158">
        <v>0</v>
      </c>
      <c r="R27" s="158">
        <v>0</v>
      </c>
      <c r="S27" s="158">
        <v>0</v>
      </c>
      <c r="T27" s="158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58">
        <v>0</v>
      </c>
      <c r="C28" s="158">
        <v>0</v>
      </c>
      <c r="D28" s="158">
        <v>0</v>
      </c>
      <c r="E28" s="27">
        <v>0</v>
      </c>
      <c r="F28" s="158">
        <v>0</v>
      </c>
      <c r="G28" s="32">
        <v>0</v>
      </c>
      <c r="H28" s="158">
        <v>0</v>
      </c>
      <c r="I28" s="32">
        <v>0</v>
      </c>
      <c r="J28" s="158">
        <v>0</v>
      </c>
      <c r="K28" s="158">
        <v>0</v>
      </c>
      <c r="L28" s="41">
        <v>0</v>
      </c>
      <c r="M28" s="27">
        <v>0</v>
      </c>
      <c r="N28" s="158">
        <v>0</v>
      </c>
      <c r="O28" s="158">
        <v>0</v>
      </c>
      <c r="P28" s="27">
        <v>0</v>
      </c>
      <c r="Q28" s="158">
        <v>0</v>
      </c>
      <c r="R28" s="158">
        <v>0</v>
      </c>
      <c r="S28" s="158">
        <v>0</v>
      </c>
      <c r="T28" s="158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58">
        <v>1848</v>
      </c>
      <c r="C31" s="158">
        <v>1699</v>
      </c>
      <c r="D31" s="51">
        <v>10634</v>
      </c>
      <c r="E31" s="158">
        <v>10405</v>
      </c>
      <c r="F31" s="158">
        <v>1095</v>
      </c>
      <c r="G31" s="158">
        <v>338</v>
      </c>
      <c r="H31" s="158">
        <v>5861</v>
      </c>
      <c r="I31" s="158">
        <v>1018</v>
      </c>
      <c r="J31" s="158">
        <v>4859</v>
      </c>
      <c r="K31" s="158">
        <v>0</v>
      </c>
      <c r="L31" s="158">
        <v>315</v>
      </c>
      <c r="M31" s="28">
        <v>792</v>
      </c>
      <c r="N31" s="158">
        <v>4873</v>
      </c>
      <c r="O31" s="158">
        <v>2083</v>
      </c>
      <c r="P31" s="158">
        <v>122</v>
      </c>
      <c r="Q31" s="158">
        <v>7489</v>
      </c>
      <c r="R31" s="158">
        <v>6087</v>
      </c>
      <c r="S31" s="158">
        <v>8993</v>
      </c>
      <c r="T31" s="158">
        <v>3398</v>
      </c>
      <c r="U31" s="158">
        <v>4980</v>
      </c>
      <c r="V31" s="28">
        <v>3056</v>
      </c>
      <c r="W31" s="27">
        <v>17998</v>
      </c>
      <c r="X31" s="52">
        <v>1971</v>
      </c>
      <c r="Y31" s="52">
        <v>10761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58">
        <v>94</v>
      </c>
      <c r="C32" s="158">
        <v>100</v>
      </c>
      <c r="D32" s="55">
        <v>1288</v>
      </c>
      <c r="E32" s="55">
        <v>400</v>
      </c>
      <c r="F32" s="158">
        <v>452</v>
      </c>
      <c r="G32" s="158">
        <v>31</v>
      </c>
      <c r="H32" s="158">
        <v>70</v>
      </c>
      <c r="I32" s="158">
        <v>109</v>
      </c>
      <c r="J32" s="158">
        <v>0</v>
      </c>
      <c r="K32" s="158">
        <v>0</v>
      </c>
      <c r="L32" s="158">
        <v>0</v>
      </c>
      <c r="M32" s="28">
        <v>0</v>
      </c>
      <c r="N32" s="158">
        <v>0</v>
      </c>
      <c r="O32" s="158">
        <v>326</v>
      </c>
      <c r="P32" s="158">
        <v>0</v>
      </c>
      <c r="Q32" s="158">
        <v>0</v>
      </c>
      <c r="R32" s="158">
        <v>0</v>
      </c>
      <c r="S32" s="158">
        <v>0</v>
      </c>
      <c r="T32" s="158">
        <v>0</v>
      </c>
      <c r="U32" s="158">
        <v>0</v>
      </c>
      <c r="V32" s="28">
        <v>0</v>
      </c>
      <c r="W32" s="27">
        <v>0</v>
      </c>
      <c r="X32" s="52">
        <v>0</v>
      </c>
      <c r="Y32" s="52">
        <v>11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58">
        <v>0</v>
      </c>
      <c r="C33" s="158">
        <v>0</v>
      </c>
      <c r="D33" s="158">
        <v>0</v>
      </c>
      <c r="E33" s="32">
        <v>0</v>
      </c>
      <c r="F33" s="158">
        <v>0</v>
      </c>
      <c r="G33" s="158">
        <v>0</v>
      </c>
      <c r="H33" s="158">
        <v>0</v>
      </c>
      <c r="I33" s="158">
        <v>0</v>
      </c>
      <c r="J33" s="158">
        <v>0</v>
      </c>
      <c r="K33" s="158">
        <v>0</v>
      </c>
      <c r="L33" s="158">
        <v>0</v>
      </c>
      <c r="M33" s="28">
        <v>0</v>
      </c>
      <c r="N33" s="158">
        <v>0</v>
      </c>
      <c r="O33" s="32">
        <v>0</v>
      </c>
      <c r="P33" s="158">
        <v>0</v>
      </c>
      <c r="Q33" s="158">
        <v>0</v>
      </c>
      <c r="R33" s="158">
        <v>0</v>
      </c>
      <c r="S33" s="158">
        <v>0</v>
      </c>
      <c r="T33" s="158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58">
        <v>1754</v>
      </c>
      <c r="C34" s="28">
        <v>1599</v>
      </c>
      <c r="D34" s="158">
        <v>9346</v>
      </c>
      <c r="E34" s="158">
        <v>10005</v>
      </c>
      <c r="F34" s="158">
        <v>643</v>
      </c>
      <c r="G34" s="158">
        <v>307</v>
      </c>
      <c r="H34" s="158">
        <v>5791</v>
      </c>
      <c r="I34" s="158">
        <v>828</v>
      </c>
      <c r="J34" s="158">
        <v>4859</v>
      </c>
      <c r="K34" s="158">
        <f>K31-K32-K33</f>
        <v>0</v>
      </c>
      <c r="L34" s="158">
        <v>315</v>
      </c>
      <c r="M34" s="28">
        <v>792</v>
      </c>
      <c r="N34" s="158">
        <v>4873</v>
      </c>
      <c r="O34" s="158">
        <v>1757</v>
      </c>
      <c r="P34" s="158">
        <v>122</v>
      </c>
      <c r="Q34" s="158">
        <f>Q31-Q32-Q33</f>
        <v>7489</v>
      </c>
      <c r="R34" s="158">
        <f>R31-R32-R33</f>
        <v>6087</v>
      </c>
      <c r="S34" s="158">
        <f>S31-S32-S33</f>
        <v>8993</v>
      </c>
      <c r="T34" s="158">
        <f>T31-T32-T33</f>
        <v>3398</v>
      </c>
      <c r="U34" s="158">
        <v>4980</v>
      </c>
      <c r="V34" s="28">
        <v>3056</v>
      </c>
      <c r="W34" s="158">
        <f>W31-W32-W33</f>
        <v>17998</v>
      </c>
      <c r="X34" s="52">
        <v>1971</v>
      </c>
      <c r="Y34" s="52">
        <v>10750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223279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784783.62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569820.62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55"/>
      <c r="H39" s="211" t="s">
        <v>96</v>
      </c>
      <c r="I39" s="211"/>
      <c r="J39" s="258"/>
      <c r="K39" s="259">
        <v>95055.96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119907.04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57" t="s">
        <v>99</v>
      </c>
      <c r="E43" s="253" t="s">
        <v>100</v>
      </c>
      <c r="F43" s="253"/>
      <c r="G43" s="253"/>
      <c r="H43" s="156" t="s">
        <v>99</v>
      </c>
      <c r="I43" s="157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57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79170</v>
      </c>
      <c r="C44" s="65">
        <v>79227</v>
      </c>
      <c r="D44" s="64">
        <v>3310</v>
      </c>
      <c r="E44" s="66">
        <v>79155</v>
      </c>
      <c r="F44" s="257">
        <v>79169</v>
      </c>
      <c r="G44" s="257"/>
      <c r="H44" s="67">
        <v>240</v>
      </c>
      <c r="I44" s="68">
        <v>580</v>
      </c>
      <c r="J44" s="248" t="s">
        <v>104</v>
      </c>
      <c r="K44" s="248"/>
      <c r="L44" s="248"/>
      <c r="M44" s="248"/>
      <c r="N44" s="248"/>
      <c r="O44" s="69">
        <v>50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/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55" t="s">
        <v>107</v>
      </c>
      <c r="E50" s="242">
        <v>49764</v>
      </c>
      <c r="F50" s="243"/>
      <c r="G50" s="243"/>
      <c r="H50" s="244"/>
      <c r="I50" s="1"/>
      <c r="J50" s="211" t="s">
        <v>108</v>
      </c>
      <c r="K50" s="211"/>
      <c r="L50" s="212"/>
      <c r="M50" s="218">
        <v>29753843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55" t="s">
        <v>109</v>
      </c>
      <c r="E51" s="242">
        <v>2285815</v>
      </c>
      <c r="F51" s="243"/>
      <c r="G51" s="243"/>
      <c r="H51" s="244"/>
      <c r="I51" s="1"/>
      <c r="J51" s="211" t="s">
        <v>110</v>
      </c>
      <c r="K51" s="211"/>
      <c r="L51" s="212"/>
      <c r="M51" s="218">
        <v>419783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2335579</v>
      </c>
      <c r="F52" s="249"/>
      <c r="G52" s="249"/>
      <c r="H52" s="249"/>
      <c r="I52" s="1"/>
      <c r="J52" s="211" t="s">
        <v>112</v>
      </c>
      <c r="K52" s="211"/>
      <c r="L52" s="212"/>
      <c r="M52" s="250">
        <v>2295815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436257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982919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31193618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31193618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A37" sqref="A37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152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49" t="s">
        <v>6</v>
      </c>
      <c r="J5" s="150"/>
      <c r="K5" s="150"/>
      <c r="L5" s="150"/>
      <c r="M5" s="293">
        <v>0.11600000000000001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48">
        <v>21101</v>
      </c>
      <c r="E7" s="11"/>
      <c r="G7" s="12"/>
      <c r="H7" s="13"/>
      <c r="I7" s="278" t="s">
        <v>13</v>
      </c>
      <c r="J7" s="278"/>
      <c r="K7" s="278"/>
      <c r="L7" s="278"/>
      <c r="M7" s="290">
        <v>600</v>
      </c>
      <c r="N7" s="290"/>
      <c r="O7" s="291">
        <v>3.4200000000000001E-2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93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4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4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5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48">
        <v>87</v>
      </c>
      <c r="C19" s="148">
        <v>61</v>
      </c>
      <c r="D19" s="148">
        <v>1110</v>
      </c>
      <c r="E19" s="148">
        <v>407</v>
      </c>
      <c r="F19" s="148">
        <v>0</v>
      </c>
      <c r="G19" s="26">
        <v>0</v>
      </c>
      <c r="H19" s="148">
        <v>0</v>
      </c>
      <c r="I19" s="148">
        <v>0</v>
      </c>
      <c r="J19" s="27">
        <v>0</v>
      </c>
      <c r="K19" s="28">
        <v>0</v>
      </c>
      <c r="L19" s="28">
        <v>0</v>
      </c>
      <c r="M19" s="148">
        <v>40</v>
      </c>
      <c r="N19" s="28">
        <v>35</v>
      </c>
      <c r="O19" s="29">
        <v>2864</v>
      </c>
      <c r="P19" s="28">
        <v>42465</v>
      </c>
      <c r="Q19" s="28">
        <v>38</v>
      </c>
      <c r="R19" s="28">
        <v>40</v>
      </c>
      <c r="S19" s="148">
        <v>29775</v>
      </c>
      <c r="T19" s="148">
        <v>500</v>
      </c>
      <c r="U19" s="30">
        <v>3180</v>
      </c>
      <c r="V19" s="30">
        <v>4</v>
      </c>
      <c r="W19" s="29">
        <v>349</v>
      </c>
    </row>
    <row r="20" spans="1:28" s="31" customFormat="1" ht="12.75" x14ac:dyDescent="0.2">
      <c r="A20" s="5" t="s">
        <v>47</v>
      </c>
      <c r="B20" s="148">
        <v>256</v>
      </c>
      <c r="C20" s="148">
        <v>100</v>
      </c>
      <c r="D20" s="148">
        <v>850</v>
      </c>
      <c r="E20" s="148">
        <v>500</v>
      </c>
      <c r="F20" s="148">
        <v>3</v>
      </c>
      <c r="G20" s="26">
        <v>5</v>
      </c>
      <c r="H20" s="148">
        <v>10</v>
      </c>
      <c r="I20" s="148">
        <v>6</v>
      </c>
      <c r="J20" s="27">
        <v>0</v>
      </c>
      <c r="K20" s="28">
        <v>0</v>
      </c>
      <c r="L20" s="28">
        <v>0</v>
      </c>
      <c r="M20" s="148">
        <v>28</v>
      </c>
      <c r="N20" s="28">
        <v>65</v>
      </c>
      <c r="O20" s="29">
        <v>0</v>
      </c>
      <c r="P20" s="28">
        <v>0</v>
      </c>
      <c r="Q20" s="28">
        <v>0</v>
      </c>
      <c r="R20" s="148">
        <v>0</v>
      </c>
      <c r="S20" s="148">
        <v>0</v>
      </c>
      <c r="T20" s="28">
        <v>0</v>
      </c>
      <c r="U20" s="28">
        <v>0</v>
      </c>
      <c r="V20" s="162" t="s">
        <v>156</v>
      </c>
      <c r="W20" s="29">
        <v>0</v>
      </c>
    </row>
    <row r="21" spans="1:28" s="31" customFormat="1" ht="12.75" x14ac:dyDescent="0.2">
      <c r="A21" s="5" t="s">
        <v>48</v>
      </c>
      <c r="B21" s="148">
        <v>340</v>
      </c>
      <c r="C21" s="148">
        <v>143</v>
      </c>
      <c r="D21" s="148">
        <v>1021</v>
      </c>
      <c r="E21" s="148">
        <v>691</v>
      </c>
      <c r="F21" s="148">
        <v>3</v>
      </c>
      <c r="G21" s="26">
        <v>5</v>
      </c>
      <c r="H21" s="148">
        <v>10</v>
      </c>
      <c r="I21" s="148">
        <v>6</v>
      </c>
      <c r="J21" s="27">
        <v>0</v>
      </c>
      <c r="K21" s="28">
        <v>0</v>
      </c>
      <c r="L21" s="28">
        <v>0</v>
      </c>
      <c r="M21" s="148">
        <v>0</v>
      </c>
      <c r="N21" s="28">
        <v>100</v>
      </c>
      <c r="O21" s="29">
        <v>0</v>
      </c>
      <c r="P21" s="28">
        <v>250</v>
      </c>
      <c r="Q21" s="28">
        <v>0</v>
      </c>
      <c r="R21" s="148">
        <v>0</v>
      </c>
      <c r="S21" s="148">
        <v>300</v>
      </c>
      <c r="T21" s="28">
        <v>0</v>
      </c>
      <c r="U21" s="28">
        <v>0</v>
      </c>
      <c r="V21" s="148">
        <v>0</v>
      </c>
      <c r="W21" s="29">
        <v>0</v>
      </c>
    </row>
    <row r="22" spans="1:28" s="31" customFormat="1" ht="12.75" x14ac:dyDescent="0.2">
      <c r="A22" s="25" t="s">
        <v>49</v>
      </c>
      <c r="B22" s="148">
        <v>3</v>
      </c>
      <c r="C22" s="148">
        <v>18</v>
      </c>
      <c r="D22" s="138">
        <v>939</v>
      </c>
      <c r="E22" s="154" t="s">
        <v>153</v>
      </c>
      <c r="F22" s="148">
        <v>0</v>
      </c>
      <c r="G22" s="26">
        <v>0</v>
      </c>
      <c r="H22" s="148">
        <v>0</v>
      </c>
      <c r="I22" s="148">
        <v>0</v>
      </c>
      <c r="J22" s="27">
        <v>0</v>
      </c>
      <c r="K22" s="28">
        <v>0</v>
      </c>
      <c r="L22" s="28">
        <v>0</v>
      </c>
      <c r="M22" s="148">
        <v>68</v>
      </c>
      <c r="N22" s="148">
        <v>0</v>
      </c>
      <c r="O22" s="148">
        <v>2864</v>
      </c>
      <c r="P22" s="148">
        <v>42215</v>
      </c>
      <c r="Q22" s="148">
        <v>38</v>
      </c>
      <c r="R22" s="148">
        <v>40</v>
      </c>
      <c r="S22" s="148">
        <v>29475</v>
      </c>
      <c r="T22" s="148">
        <v>500</v>
      </c>
      <c r="U22" s="148">
        <v>3180</v>
      </c>
      <c r="V22" s="148">
        <v>104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51"/>
      <c r="J23" s="151"/>
      <c r="K23" s="151"/>
      <c r="L23" s="151"/>
      <c r="M23" s="151"/>
      <c r="N23" s="151"/>
      <c r="O23" s="151"/>
      <c r="P23" s="151"/>
      <c r="Q23" s="33"/>
      <c r="R23" s="33"/>
      <c r="S23" s="151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48">
        <v>0</v>
      </c>
      <c r="C25" s="148">
        <v>0</v>
      </c>
      <c r="D25" s="148">
        <v>0</v>
      </c>
      <c r="E25" s="27">
        <v>0</v>
      </c>
      <c r="F25" s="148">
        <v>0</v>
      </c>
      <c r="G25" s="32">
        <v>0</v>
      </c>
      <c r="H25" s="148">
        <v>0</v>
      </c>
      <c r="I25" s="32">
        <v>0</v>
      </c>
      <c r="J25" s="148">
        <v>0</v>
      </c>
      <c r="K25" s="148">
        <v>0</v>
      </c>
      <c r="L25" s="41">
        <v>0</v>
      </c>
      <c r="M25" s="27">
        <v>0</v>
      </c>
      <c r="N25" s="148">
        <v>0</v>
      </c>
      <c r="O25" s="148">
        <v>0</v>
      </c>
      <c r="P25" s="27">
        <v>0</v>
      </c>
      <c r="Q25" s="148">
        <v>0</v>
      </c>
      <c r="R25" s="148">
        <v>0</v>
      </c>
      <c r="S25" s="148">
        <v>0</v>
      </c>
      <c r="T25" s="148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48">
        <v>0</v>
      </c>
      <c r="C26" s="148">
        <v>0</v>
      </c>
      <c r="D26" s="148">
        <v>0</v>
      </c>
      <c r="E26" s="27">
        <v>0</v>
      </c>
      <c r="F26" s="148">
        <v>0</v>
      </c>
      <c r="G26" s="32">
        <v>0</v>
      </c>
      <c r="H26" s="148">
        <v>0</v>
      </c>
      <c r="I26" s="32">
        <v>0</v>
      </c>
      <c r="J26" s="148">
        <v>0</v>
      </c>
      <c r="K26" s="148">
        <v>0</v>
      </c>
      <c r="L26" s="41">
        <v>0</v>
      </c>
      <c r="M26" s="27">
        <v>0</v>
      </c>
      <c r="N26" s="148">
        <v>0</v>
      </c>
      <c r="O26" s="148">
        <v>0</v>
      </c>
      <c r="P26" s="27">
        <v>0</v>
      </c>
      <c r="Q26" s="148">
        <v>0</v>
      </c>
      <c r="R26" s="148">
        <v>0</v>
      </c>
      <c r="S26" s="148">
        <v>0</v>
      </c>
      <c r="T26" s="148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48">
        <v>0</v>
      </c>
      <c r="C27" s="148">
        <v>0</v>
      </c>
      <c r="D27" s="148">
        <v>0</v>
      </c>
      <c r="E27" s="27">
        <v>0</v>
      </c>
      <c r="F27" s="148">
        <v>0</v>
      </c>
      <c r="G27" s="32">
        <v>0</v>
      </c>
      <c r="H27" s="148">
        <v>0</v>
      </c>
      <c r="I27" s="32">
        <v>0</v>
      </c>
      <c r="J27" s="148">
        <v>0</v>
      </c>
      <c r="K27" s="148">
        <v>0</v>
      </c>
      <c r="L27" s="41">
        <v>0</v>
      </c>
      <c r="M27" s="27">
        <v>0</v>
      </c>
      <c r="N27" s="148">
        <v>0</v>
      </c>
      <c r="O27" s="148">
        <v>0</v>
      </c>
      <c r="P27" s="27">
        <v>0</v>
      </c>
      <c r="Q27" s="148">
        <v>0</v>
      </c>
      <c r="R27" s="148">
        <v>0</v>
      </c>
      <c r="S27" s="148">
        <v>0</v>
      </c>
      <c r="T27" s="148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48">
        <v>0</v>
      </c>
      <c r="C28" s="148">
        <v>0</v>
      </c>
      <c r="D28" s="148">
        <v>0</v>
      </c>
      <c r="E28" s="27">
        <v>0</v>
      </c>
      <c r="F28" s="148">
        <v>0</v>
      </c>
      <c r="G28" s="32">
        <v>0</v>
      </c>
      <c r="H28" s="148">
        <v>0</v>
      </c>
      <c r="I28" s="32">
        <v>0</v>
      </c>
      <c r="J28" s="148">
        <v>0</v>
      </c>
      <c r="K28" s="148">
        <v>0</v>
      </c>
      <c r="L28" s="41">
        <v>0</v>
      </c>
      <c r="M28" s="27">
        <v>0</v>
      </c>
      <c r="N28" s="148">
        <v>0</v>
      </c>
      <c r="O28" s="148">
        <v>0</v>
      </c>
      <c r="P28" s="27">
        <v>0</v>
      </c>
      <c r="Q28" s="148">
        <v>0</v>
      </c>
      <c r="R28" s="148">
        <v>0</v>
      </c>
      <c r="S28" s="148">
        <v>0</v>
      </c>
      <c r="T28" s="148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48">
        <v>2104</v>
      </c>
      <c r="C31" s="148">
        <v>1799</v>
      </c>
      <c r="D31" s="51">
        <v>10884</v>
      </c>
      <c r="E31" s="148">
        <v>10905</v>
      </c>
      <c r="F31" s="148">
        <v>1098</v>
      </c>
      <c r="G31" s="148">
        <v>343</v>
      </c>
      <c r="H31" s="148">
        <v>5871</v>
      </c>
      <c r="I31" s="148">
        <v>1018</v>
      </c>
      <c r="J31" s="148">
        <v>4859</v>
      </c>
      <c r="K31" s="148">
        <v>0</v>
      </c>
      <c r="L31" s="148">
        <v>315</v>
      </c>
      <c r="M31" s="28">
        <v>798</v>
      </c>
      <c r="N31" s="148">
        <v>4873</v>
      </c>
      <c r="O31" s="148">
        <v>2334</v>
      </c>
      <c r="P31" s="148">
        <v>122</v>
      </c>
      <c r="Q31" s="148">
        <v>7489</v>
      </c>
      <c r="R31" s="148">
        <v>6087</v>
      </c>
      <c r="S31" s="148">
        <v>8993</v>
      </c>
      <c r="T31" s="148">
        <v>3398</v>
      </c>
      <c r="U31" s="148">
        <v>5580</v>
      </c>
      <c r="V31" s="28">
        <v>3056</v>
      </c>
      <c r="W31" s="27">
        <v>17998</v>
      </c>
      <c r="X31" s="52">
        <v>1971</v>
      </c>
      <c r="Y31" s="52">
        <v>10761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48">
        <v>256</v>
      </c>
      <c r="C32" s="148">
        <v>100</v>
      </c>
      <c r="D32" s="55">
        <v>250</v>
      </c>
      <c r="E32" s="55">
        <v>500</v>
      </c>
      <c r="F32" s="148">
        <v>3</v>
      </c>
      <c r="G32" s="148">
        <v>5</v>
      </c>
      <c r="H32" s="148">
        <v>10</v>
      </c>
      <c r="I32" s="148">
        <v>0</v>
      </c>
      <c r="J32" s="148">
        <v>0</v>
      </c>
      <c r="K32" s="148">
        <v>0</v>
      </c>
      <c r="L32" s="148">
        <v>0</v>
      </c>
      <c r="M32" s="28">
        <v>6</v>
      </c>
      <c r="N32" s="148">
        <v>0</v>
      </c>
      <c r="O32" s="148">
        <v>251</v>
      </c>
      <c r="P32" s="148">
        <v>0</v>
      </c>
      <c r="Q32" s="148">
        <v>0</v>
      </c>
      <c r="R32" s="148">
        <v>0</v>
      </c>
      <c r="S32" s="148">
        <v>0</v>
      </c>
      <c r="T32" s="148">
        <v>0</v>
      </c>
      <c r="U32" s="148">
        <v>600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48">
        <v>0</v>
      </c>
      <c r="C33" s="148">
        <v>0</v>
      </c>
      <c r="D33" s="148">
        <v>0</v>
      </c>
      <c r="E33" s="32">
        <v>0</v>
      </c>
      <c r="F33" s="148">
        <v>0</v>
      </c>
      <c r="G33" s="148">
        <v>0</v>
      </c>
      <c r="H33" s="148">
        <v>0</v>
      </c>
      <c r="I33" s="148">
        <v>0</v>
      </c>
      <c r="J33" s="148">
        <v>0</v>
      </c>
      <c r="K33" s="148">
        <v>0</v>
      </c>
      <c r="L33" s="148">
        <v>0</v>
      </c>
      <c r="M33" s="28">
        <v>0</v>
      </c>
      <c r="N33" s="148">
        <v>0</v>
      </c>
      <c r="O33" s="32">
        <v>0</v>
      </c>
      <c r="P33" s="148">
        <v>0</v>
      </c>
      <c r="Q33" s="148">
        <v>0</v>
      </c>
      <c r="R33" s="148">
        <v>0</v>
      </c>
      <c r="S33" s="148">
        <v>0</v>
      </c>
      <c r="T33" s="148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48">
        <v>1848</v>
      </c>
      <c r="C34" s="28">
        <v>1699</v>
      </c>
      <c r="D34" s="148">
        <v>10634</v>
      </c>
      <c r="E34" s="148">
        <v>10405</v>
      </c>
      <c r="F34" s="148">
        <v>1095</v>
      </c>
      <c r="G34" s="148">
        <v>338</v>
      </c>
      <c r="H34" s="148">
        <v>5861</v>
      </c>
      <c r="I34" s="148">
        <v>1018</v>
      </c>
      <c r="J34" s="148">
        <v>4859</v>
      </c>
      <c r="K34" s="148">
        <f>K31-K32-K33</f>
        <v>0</v>
      </c>
      <c r="L34" s="148">
        <v>315</v>
      </c>
      <c r="M34" s="28">
        <v>792</v>
      </c>
      <c r="N34" s="148">
        <v>4873</v>
      </c>
      <c r="O34" s="148">
        <v>2083</v>
      </c>
      <c r="P34" s="148">
        <v>122</v>
      </c>
      <c r="Q34" s="148">
        <f>Q31-Q32-Q33</f>
        <v>7489</v>
      </c>
      <c r="R34" s="148">
        <f>R31-R32-R33</f>
        <v>6087</v>
      </c>
      <c r="S34" s="148">
        <f>S31-S32-S33</f>
        <v>8993</v>
      </c>
      <c r="T34" s="148">
        <f>T31-T32-T33</f>
        <v>3398</v>
      </c>
      <c r="U34" s="148">
        <v>4980</v>
      </c>
      <c r="V34" s="28">
        <v>3056</v>
      </c>
      <c r="W34" s="148">
        <f>W31-W32-W33</f>
        <v>17998</v>
      </c>
      <c r="X34" s="52">
        <v>1971</v>
      </c>
      <c r="Y34" s="52">
        <v>10761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625167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488208.16999999993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329501.46999999997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51"/>
      <c r="H39" s="211" t="s">
        <v>96</v>
      </c>
      <c r="I39" s="211"/>
      <c r="J39" s="258"/>
      <c r="K39" s="259">
        <v>63651.040000000001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95055.66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53" t="s">
        <v>99</v>
      </c>
      <c r="E43" s="253" t="s">
        <v>100</v>
      </c>
      <c r="F43" s="253"/>
      <c r="G43" s="253"/>
      <c r="H43" s="152" t="s">
        <v>99</v>
      </c>
      <c r="I43" s="15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53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79096</v>
      </c>
      <c r="C44" s="65">
        <v>79154</v>
      </c>
      <c r="D44" s="64">
        <v>3460</v>
      </c>
      <c r="E44" s="66">
        <v>79085</v>
      </c>
      <c r="F44" s="257">
        <v>79095</v>
      </c>
      <c r="G44" s="257"/>
      <c r="H44" s="67">
        <v>260</v>
      </c>
      <c r="I44" s="68">
        <v>0</v>
      </c>
      <c r="J44" s="248" t="s">
        <v>104</v>
      </c>
      <c r="K44" s="248"/>
      <c r="L44" s="248"/>
      <c r="M44" s="248"/>
      <c r="N44" s="248"/>
      <c r="O44" s="69">
        <v>290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51" t="s">
        <v>107</v>
      </c>
      <c r="E50" s="242">
        <v>123309</v>
      </c>
      <c r="F50" s="243"/>
      <c r="G50" s="243"/>
      <c r="H50" s="244"/>
      <c r="I50" s="1"/>
      <c r="J50" s="211" t="s">
        <v>108</v>
      </c>
      <c r="K50" s="211"/>
      <c r="L50" s="212"/>
      <c r="M50" s="218">
        <v>28668081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51" t="s">
        <v>109</v>
      </c>
      <c r="E51" s="242">
        <v>1927882</v>
      </c>
      <c r="F51" s="243"/>
      <c r="G51" s="243"/>
      <c r="H51" s="244"/>
      <c r="I51" s="1"/>
      <c r="J51" s="211" t="s">
        <v>110</v>
      </c>
      <c r="K51" s="211"/>
      <c r="L51" s="212"/>
      <c r="M51" s="218">
        <v>448372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2051191</v>
      </c>
      <c r="F52" s="249"/>
      <c r="G52" s="249"/>
      <c r="H52" s="249"/>
      <c r="I52" s="1"/>
      <c r="J52" s="211" t="s">
        <v>112</v>
      </c>
      <c r="K52" s="211"/>
      <c r="L52" s="212"/>
      <c r="M52" s="250">
        <v>1927882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393748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907054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29753843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29753843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opLeftCell="A19" workbookViewId="0">
      <selection activeCell="A28" sqref="A28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149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42" t="s">
        <v>6</v>
      </c>
      <c r="J5" s="143"/>
      <c r="K5" s="143"/>
      <c r="L5" s="143"/>
      <c r="M5" s="293">
        <v>0.107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44">
        <v>21541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133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45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45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39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44">
        <v>8</v>
      </c>
      <c r="C19" s="144">
        <v>35</v>
      </c>
      <c r="D19" s="144">
        <v>9</v>
      </c>
      <c r="E19" s="144">
        <v>67</v>
      </c>
      <c r="F19" s="144">
        <v>0</v>
      </c>
      <c r="G19" s="26">
        <v>0</v>
      </c>
      <c r="H19" s="144">
        <v>0</v>
      </c>
      <c r="I19" s="144">
        <v>0</v>
      </c>
      <c r="J19" s="27">
        <v>0</v>
      </c>
      <c r="K19" s="28">
        <v>0</v>
      </c>
      <c r="L19" s="28">
        <v>0</v>
      </c>
      <c r="M19" s="144">
        <v>40</v>
      </c>
      <c r="N19" s="28">
        <v>35</v>
      </c>
      <c r="O19" s="29">
        <v>2864</v>
      </c>
      <c r="P19" s="28">
        <v>45015</v>
      </c>
      <c r="Q19" s="28">
        <v>38</v>
      </c>
      <c r="R19" s="28">
        <v>40</v>
      </c>
      <c r="S19" s="144">
        <v>30525</v>
      </c>
      <c r="T19" s="144">
        <v>500</v>
      </c>
      <c r="U19" s="30">
        <v>3180</v>
      </c>
      <c r="V19" s="30">
        <v>4</v>
      </c>
      <c r="W19" s="29">
        <v>349</v>
      </c>
    </row>
    <row r="20" spans="1:28" s="31" customFormat="1" ht="12.75" x14ac:dyDescent="0.2">
      <c r="A20" s="5" t="s">
        <v>47</v>
      </c>
      <c r="B20" s="144">
        <v>150</v>
      </c>
      <c r="C20" s="144">
        <v>100</v>
      </c>
      <c r="D20" s="144">
        <v>1464</v>
      </c>
      <c r="E20" s="144">
        <v>600</v>
      </c>
      <c r="F20" s="144">
        <v>1</v>
      </c>
      <c r="G20" s="26">
        <v>0</v>
      </c>
      <c r="H20" s="144">
        <v>0</v>
      </c>
      <c r="I20" s="144">
        <v>15</v>
      </c>
      <c r="J20" s="27">
        <v>0</v>
      </c>
      <c r="K20" s="28">
        <v>0</v>
      </c>
      <c r="L20" s="28">
        <v>0</v>
      </c>
      <c r="M20" s="144">
        <v>0</v>
      </c>
      <c r="N20" s="28">
        <v>0</v>
      </c>
      <c r="O20" s="29">
        <v>0</v>
      </c>
      <c r="P20" s="28">
        <v>17500</v>
      </c>
      <c r="Q20" s="28">
        <v>0</v>
      </c>
      <c r="R20" s="144">
        <v>0</v>
      </c>
      <c r="S20" s="144">
        <v>0</v>
      </c>
      <c r="T20" s="28">
        <v>0</v>
      </c>
      <c r="U20" s="28">
        <v>0</v>
      </c>
      <c r="V20" s="144">
        <v>0</v>
      </c>
      <c r="W20" s="29">
        <v>0</v>
      </c>
    </row>
    <row r="21" spans="1:28" s="31" customFormat="1" ht="12.75" x14ac:dyDescent="0.2">
      <c r="A21" s="5" t="s">
        <v>48</v>
      </c>
      <c r="B21" s="144">
        <v>70</v>
      </c>
      <c r="C21" s="144">
        <v>74</v>
      </c>
      <c r="D21" s="144">
        <v>363</v>
      </c>
      <c r="E21" s="144">
        <v>260</v>
      </c>
      <c r="F21" s="144">
        <v>1</v>
      </c>
      <c r="G21" s="26">
        <v>0</v>
      </c>
      <c r="H21" s="144">
        <v>0</v>
      </c>
      <c r="I21" s="144">
        <v>15</v>
      </c>
      <c r="J21" s="27">
        <v>0</v>
      </c>
      <c r="K21" s="28">
        <v>0</v>
      </c>
      <c r="L21" s="28">
        <v>0</v>
      </c>
      <c r="M21" s="144">
        <v>0</v>
      </c>
      <c r="N21" s="28">
        <v>0</v>
      </c>
      <c r="O21" s="29">
        <v>0</v>
      </c>
      <c r="P21" s="28">
        <v>20050</v>
      </c>
      <c r="Q21" s="28">
        <v>0</v>
      </c>
      <c r="R21" s="144">
        <v>0</v>
      </c>
      <c r="S21" s="144">
        <v>750</v>
      </c>
      <c r="T21" s="28">
        <v>0</v>
      </c>
      <c r="U21" s="28">
        <v>0</v>
      </c>
      <c r="V21" s="144">
        <v>0</v>
      </c>
      <c r="W21" s="29">
        <v>0</v>
      </c>
    </row>
    <row r="22" spans="1:28" s="31" customFormat="1" ht="12.75" x14ac:dyDescent="0.2">
      <c r="A22" s="25" t="s">
        <v>49</v>
      </c>
      <c r="B22" s="146" t="s">
        <v>150</v>
      </c>
      <c r="C22" s="144">
        <v>61</v>
      </c>
      <c r="D22" s="138">
        <v>1110</v>
      </c>
      <c r="E22" s="144">
        <v>407</v>
      </c>
      <c r="F22" s="144">
        <v>0</v>
      </c>
      <c r="G22" s="26">
        <v>0</v>
      </c>
      <c r="H22" s="144">
        <v>0</v>
      </c>
      <c r="I22" s="144">
        <v>0</v>
      </c>
      <c r="J22" s="27">
        <v>0</v>
      </c>
      <c r="K22" s="28">
        <v>0</v>
      </c>
      <c r="L22" s="28">
        <v>0</v>
      </c>
      <c r="M22" s="144">
        <v>40</v>
      </c>
      <c r="N22" s="144">
        <v>35</v>
      </c>
      <c r="O22" s="144">
        <v>2864</v>
      </c>
      <c r="P22" s="144">
        <v>42465</v>
      </c>
      <c r="Q22" s="144">
        <v>38</v>
      </c>
      <c r="R22" s="144">
        <v>40</v>
      </c>
      <c r="S22" s="144">
        <v>29775</v>
      </c>
      <c r="T22" s="144">
        <v>500</v>
      </c>
      <c r="U22" s="144">
        <v>3180</v>
      </c>
      <c r="V22" s="144">
        <v>4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39"/>
      <c r="J23" s="139"/>
      <c r="K23" s="139"/>
      <c r="L23" s="139"/>
      <c r="M23" s="139"/>
      <c r="N23" s="139"/>
      <c r="O23" s="139"/>
      <c r="P23" s="139"/>
      <c r="Q23" s="33"/>
      <c r="R23" s="33"/>
      <c r="S23" s="139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44">
        <v>0</v>
      </c>
      <c r="C25" s="144">
        <v>0</v>
      </c>
      <c r="D25" s="144">
        <v>0</v>
      </c>
      <c r="E25" s="27">
        <v>0</v>
      </c>
      <c r="F25" s="144">
        <v>0</v>
      </c>
      <c r="G25" s="32">
        <v>0</v>
      </c>
      <c r="H25" s="144">
        <v>0</v>
      </c>
      <c r="I25" s="32">
        <v>0</v>
      </c>
      <c r="J25" s="144">
        <v>0</v>
      </c>
      <c r="K25" s="144">
        <v>0</v>
      </c>
      <c r="L25" s="41">
        <v>0</v>
      </c>
      <c r="M25" s="27">
        <v>0</v>
      </c>
      <c r="N25" s="144">
        <v>0</v>
      </c>
      <c r="O25" s="144">
        <v>0</v>
      </c>
      <c r="P25" s="27">
        <v>0</v>
      </c>
      <c r="Q25" s="144">
        <v>0</v>
      </c>
      <c r="R25" s="144">
        <v>0</v>
      </c>
      <c r="S25" s="144">
        <v>0</v>
      </c>
      <c r="T25" s="144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44">
        <v>0</v>
      </c>
      <c r="C26" s="144">
        <v>0</v>
      </c>
      <c r="D26" s="144">
        <v>0</v>
      </c>
      <c r="E26" s="27">
        <v>0</v>
      </c>
      <c r="F26" s="144">
        <v>0</v>
      </c>
      <c r="G26" s="32">
        <v>0</v>
      </c>
      <c r="H26" s="144">
        <v>0</v>
      </c>
      <c r="I26" s="32">
        <v>0</v>
      </c>
      <c r="J26" s="144">
        <v>0</v>
      </c>
      <c r="K26" s="144">
        <v>0</v>
      </c>
      <c r="L26" s="41">
        <v>0</v>
      </c>
      <c r="M26" s="27">
        <v>0</v>
      </c>
      <c r="N26" s="144">
        <v>0</v>
      </c>
      <c r="O26" s="144">
        <v>0</v>
      </c>
      <c r="P26" s="27">
        <v>0</v>
      </c>
      <c r="Q26" s="144">
        <v>0</v>
      </c>
      <c r="R26" s="144">
        <v>0</v>
      </c>
      <c r="S26" s="144">
        <v>0</v>
      </c>
      <c r="T26" s="144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44">
        <v>0</v>
      </c>
      <c r="C27" s="144">
        <v>0</v>
      </c>
      <c r="D27" s="144">
        <v>0</v>
      </c>
      <c r="E27" s="27">
        <v>0</v>
      </c>
      <c r="F27" s="144">
        <v>0</v>
      </c>
      <c r="G27" s="32">
        <v>0</v>
      </c>
      <c r="H27" s="144">
        <v>0</v>
      </c>
      <c r="I27" s="32">
        <v>0</v>
      </c>
      <c r="J27" s="144">
        <v>0</v>
      </c>
      <c r="K27" s="144">
        <v>0</v>
      </c>
      <c r="L27" s="41">
        <v>0</v>
      </c>
      <c r="M27" s="27">
        <v>0</v>
      </c>
      <c r="N27" s="144">
        <v>0</v>
      </c>
      <c r="O27" s="144">
        <v>0</v>
      </c>
      <c r="P27" s="27">
        <v>0</v>
      </c>
      <c r="Q27" s="144">
        <v>0</v>
      </c>
      <c r="R27" s="144">
        <v>0</v>
      </c>
      <c r="S27" s="144">
        <v>0</v>
      </c>
      <c r="T27" s="144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44">
        <v>0</v>
      </c>
      <c r="C28" s="144">
        <v>0</v>
      </c>
      <c r="D28" s="144">
        <v>0</v>
      </c>
      <c r="E28" s="27">
        <v>0</v>
      </c>
      <c r="F28" s="144">
        <v>0</v>
      </c>
      <c r="G28" s="32">
        <v>0</v>
      </c>
      <c r="H28" s="144">
        <v>0</v>
      </c>
      <c r="I28" s="32">
        <v>0</v>
      </c>
      <c r="J28" s="144">
        <v>0</v>
      </c>
      <c r="K28" s="144">
        <v>0</v>
      </c>
      <c r="L28" s="41">
        <v>0</v>
      </c>
      <c r="M28" s="27">
        <v>0</v>
      </c>
      <c r="N28" s="144">
        <v>0</v>
      </c>
      <c r="O28" s="144">
        <v>0</v>
      </c>
      <c r="P28" s="27">
        <v>0</v>
      </c>
      <c r="Q28" s="144">
        <v>0</v>
      </c>
      <c r="R28" s="144">
        <v>0</v>
      </c>
      <c r="S28" s="144">
        <v>0</v>
      </c>
      <c r="T28" s="144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44">
        <v>2254</v>
      </c>
      <c r="C31" s="144">
        <v>1899</v>
      </c>
      <c r="D31" s="51">
        <v>248</v>
      </c>
      <c r="E31" s="144">
        <v>11505</v>
      </c>
      <c r="F31" s="144">
        <v>1499</v>
      </c>
      <c r="G31" s="144">
        <v>343</v>
      </c>
      <c r="H31" s="144">
        <v>5871</v>
      </c>
      <c r="I31" s="144">
        <v>1018</v>
      </c>
      <c r="J31" s="144">
        <v>4859</v>
      </c>
      <c r="K31" s="144">
        <v>0</v>
      </c>
      <c r="L31" s="144">
        <v>315</v>
      </c>
      <c r="M31" s="28">
        <v>813</v>
      </c>
      <c r="N31" s="144">
        <v>4873</v>
      </c>
      <c r="O31" s="144">
        <v>2424</v>
      </c>
      <c r="P31" s="144">
        <v>122</v>
      </c>
      <c r="Q31" s="144">
        <v>7489</v>
      </c>
      <c r="R31" s="144">
        <v>6087</v>
      </c>
      <c r="S31" s="144">
        <v>8993</v>
      </c>
      <c r="T31" s="144">
        <v>3398</v>
      </c>
      <c r="U31" s="144">
        <v>6880</v>
      </c>
      <c r="V31" s="28">
        <v>3056</v>
      </c>
      <c r="W31" s="27">
        <v>17998</v>
      </c>
      <c r="X31" s="52">
        <v>1971</v>
      </c>
      <c r="Y31" s="52">
        <v>10761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44">
        <v>150</v>
      </c>
      <c r="C32" s="144">
        <v>100</v>
      </c>
      <c r="D32" s="55">
        <v>164</v>
      </c>
      <c r="E32" s="55">
        <v>600</v>
      </c>
      <c r="F32" s="144">
        <v>401</v>
      </c>
      <c r="G32" s="144">
        <v>0</v>
      </c>
      <c r="H32" s="144">
        <v>0</v>
      </c>
      <c r="I32" s="144">
        <v>0</v>
      </c>
      <c r="J32" s="144">
        <v>0</v>
      </c>
      <c r="K32" s="144">
        <v>0</v>
      </c>
      <c r="L32" s="144">
        <v>0</v>
      </c>
      <c r="M32" s="28">
        <v>15</v>
      </c>
      <c r="N32" s="144">
        <v>0</v>
      </c>
      <c r="O32" s="144">
        <v>90</v>
      </c>
      <c r="P32" s="144">
        <v>0</v>
      </c>
      <c r="Q32" s="144">
        <v>0</v>
      </c>
      <c r="R32" s="144">
        <v>0</v>
      </c>
      <c r="S32" s="144">
        <v>0</v>
      </c>
      <c r="T32" s="144">
        <v>0</v>
      </c>
      <c r="U32" s="144">
        <v>1300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44">
        <v>0</v>
      </c>
      <c r="C33" s="144">
        <v>0</v>
      </c>
      <c r="D33" s="144">
        <v>10800</v>
      </c>
      <c r="E33" s="32">
        <v>0</v>
      </c>
      <c r="F33" s="144">
        <v>0</v>
      </c>
      <c r="G33" s="144">
        <v>0</v>
      </c>
      <c r="H33" s="144">
        <v>0</v>
      </c>
      <c r="I33" s="144">
        <v>0</v>
      </c>
      <c r="J33" s="144">
        <v>0</v>
      </c>
      <c r="K33" s="144">
        <v>0</v>
      </c>
      <c r="L33" s="144">
        <v>0</v>
      </c>
      <c r="M33" s="28">
        <v>0</v>
      </c>
      <c r="N33" s="144">
        <v>0</v>
      </c>
      <c r="O33" s="32">
        <v>0</v>
      </c>
      <c r="P33" s="144">
        <v>0</v>
      </c>
      <c r="Q33" s="144">
        <v>0</v>
      </c>
      <c r="R33" s="144">
        <v>0</v>
      </c>
      <c r="S33" s="144">
        <v>0</v>
      </c>
      <c r="T33" s="14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44">
        <v>2104</v>
      </c>
      <c r="C34" s="28">
        <v>1799</v>
      </c>
      <c r="D34" s="144">
        <v>10884</v>
      </c>
      <c r="E34" s="144">
        <v>10905</v>
      </c>
      <c r="F34" s="144">
        <v>1098</v>
      </c>
      <c r="G34" s="144">
        <v>343</v>
      </c>
      <c r="H34" s="144">
        <v>5871</v>
      </c>
      <c r="I34" s="144">
        <v>1018</v>
      </c>
      <c r="J34" s="144">
        <v>4859</v>
      </c>
      <c r="K34" s="144">
        <f>K31-K32-K33</f>
        <v>0</v>
      </c>
      <c r="L34" s="144">
        <v>315</v>
      </c>
      <c r="M34" s="28">
        <v>798</v>
      </c>
      <c r="N34" s="144">
        <v>4873</v>
      </c>
      <c r="O34" s="144">
        <v>2334</v>
      </c>
      <c r="P34" s="144">
        <v>122</v>
      </c>
      <c r="Q34" s="144">
        <f>Q31-Q32-Q33</f>
        <v>7489</v>
      </c>
      <c r="R34" s="144">
        <f>R31-R32-R33</f>
        <v>6087</v>
      </c>
      <c r="S34" s="144">
        <f>S31-S32-S33</f>
        <v>8993</v>
      </c>
      <c r="T34" s="144">
        <f>T31-T32-T33</f>
        <v>3398</v>
      </c>
      <c r="U34" s="144">
        <v>5580</v>
      </c>
      <c r="V34" s="28">
        <v>3056</v>
      </c>
      <c r="W34" s="144">
        <f>W31-W32-W33</f>
        <v>17998</v>
      </c>
      <c r="X34" s="52">
        <v>1971</v>
      </c>
      <c r="Y34" s="52">
        <v>10761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323564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1208636.47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1049929.47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39"/>
      <c r="H39" s="211" t="s">
        <v>96</v>
      </c>
      <c r="I39" s="211"/>
      <c r="J39" s="258"/>
      <c r="K39" s="259">
        <v>95055.96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63651.040000000001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41" t="s">
        <v>99</v>
      </c>
      <c r="E43" s="253" t="s">
        <v>100</v>
      </c>
      <c r="F43" s="253"/>
      <c r="G43" s="253"/>
      <c r="H43" s="140" t="s">
        <v>99</v>
      </c>
      <c r="I43" s="141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41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79034</v>
      </c>
      <c r="C44" s="65">
        <v>79084</v>
      </c>
      <c r="D44" s="64">
        <v>4330</v>
      </c>
      <c r="E44" s="66">
        <v>79022</v>
      </c>
      <c r="F44" s="257">
        <v>79033</v>
      </c>
      <c r="G44" s="257"/>
      <c r="H44" s="67">
        <v>100</v>
      </c>
      <c r="I44" s="68">
        <v>0</v>
      </c>
      <c r="J44" s="248" t="s">
        <v>104</v>
      </c>
      <c r="K44" s="248"/>
      <c r="L44" s="248"/>
      <c r="M44" s="248"/>
      <c r="N44" s="248"/>
      <c r="O44" s="69">
        <v>0</v>
      </c>
      <c r="P44" s="63">
        <v>30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39" t="s">
        <v>107</v>
      </c>
      <c r="E50" s="242">
        <v>43610</v>
      </c>
      <c r="F50" s="243"/>
      <c r="G50" s="243"/>
      <c r="H50" s="244"/>
      <c r="I50" s="1"/>
      <c r="J50" s="211" t="s">
        <v>108</v>
      </c>
      <c r="K50" s="211"/>
      <c r="L50" s="212"/>
      <c r="M50" s="218">
        <v>29049170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39" t="s">
        <v>109</v>
      </c>
      <c r="E51" s="242">
        <v>1442144</v>
      </c>
      <c r="F51" s="243"/>
      <c r="G51" s="243"/>
      <c r="H51" s="244"/>
      <c r="I51" s="1"/>
      <c r="J51" s="211" t="s">
        <v>110</v>
      </c>
      <c r="K51" s="211"/>
      <c r="L51" s="212"/>
      <c r="M51" s="218">
        <v>1476216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1485754</v>
      </c>
      <c r="F52" s="249"/>
      <c r="G52" s="249"/>
      <c r="H52" s="249"/>
      <c r="I52" s="1"/>
      <c r="J52" s="211" t="s">
        <v>112</v>
      </c>
      <c r="K52" s="211"/>
      <c r="L52" s="212"/>
      <c r="M52" s="250">
        <v>1442144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347017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2189839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28668081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28668081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topLeftCell="A25" workbookViewId="0">
      <selection activeCell="A37" sqref="A37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147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31" t="s">
        <v>6</v>
      </c>
      <c r="J5" s="132"/>
      <c r="K5" s="132"/>
      <c r="L5" s="132"/>
      <c r="M5" s="293">
        <v>0.106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30">
        <v>21991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300</v>
      </c>
      <c r="N8" s="290"/>
      <c r="O8" s="291">
        <v>1.7100000000000001E-2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163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29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29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33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30">
        <v>136</v>
      </c>
      <c r="C19" s="130">
        <v>102</v>
      </c>
      <c r="D19" s="130">
        <v>376</v>
      </c>
      <c r="E19" s="130">
        <v>257</v>
      </c>
      <c r="F19" s="130">
        <v>0</v>
      </c>
      <c r="G19" s="26">
        <v>0</v>
      </c>
      <c r="H19" s="130">
        <v>0</v>
      </c>
      <c r="I19" s="130">
        <v>0</v>
      </c>
      <c r="J19" s="27">
        <v>0</v>
      </c>
      <c r="K19" s="28">
        <v>0</v>
      </c>
      <c r="L19" s="28">
        <v>0</v>
      </c>
      <c r="M19" s="130">
        <v>40</v>
      </c>
      <c r="N19" s="28">
        <v>35</v>
      </c>
      <c r="O19" s="29">
        <v>2864</v>
      </c>
      <c r="P19" s="28">
        <v>17665</v>
      </c>
      <c r="Q19" s="28">
        <v>38</v>
      </c>
      <c r="R19" s="28">
        <v>40</v>
      </c>
      <c r="S19" s="130">
        <v>30525</v>
      </c>
      <c r="T19" s="130">
        <v>500</v>
      </c>
      <c r="U19" s="30">
        <v>3180</v>
      </c>
      <c r="V19" s="30">
        <v>14</v>
      </c>
      <c r="W19" s="29">
        <v>349</v>
      </c>
    </row>
    <row r="20" spans="1:28" s="31" customFormat="1" ht="12.75" x14ac:dyDescent="0.2">
      <c r="A20" s="5" t="s">
        <v>47</v>
      </c>
      <c r="B20" s="130">
        <v>50</v>
      </c>
      <c r="C20" s="130">
        <v>50</v>
      </c>
      <c r="D20" s="130">
        <v>1250</v>
      </c>
      <c r="E20" s="130">
        <v>500</v>
      </c>
      <c r="F20" s="130">
        <v>0</v>
      </c>
      <c r="G20" s="26">
        <v>5</v>
      </c>
      <c r="H20" s="130">
        <v>20</v>
      </c>
      <c r="I20" s="130">
        <v>0</v>
      </c>
      <c r="J20" s="27">
        <v>0</v>
      </c>
      <c r="K20" s="28">
        <v>0</v>
      </c>
      <c r="L20" s="28">
        <v>0</v>
      </c>
      <c r="M20" s="130">
        <v>0</v>
      </c>
      <c r="N20" s="28">
        <v>0</v>
      </c>
      <c r="O20" s="29">
        <v>0</v>
      </c>
      <c r="P20" s="28" t="s">
        <v>151</v>
      </c>
      <c r="Q20" s="28">
        <v>0</v>
      </c>
      <c r="R20" s="130">
        <v>0</v>
      </c>
      <c r="S20" s="130">
        <v>0</v>
      </c>
      <c r="T20" s="28">
        <v>0</v>
      </c>
      <c r="U20" s="28">
        <v>0</v>
      </c>
      <c r="V20" s="130">
        <v>10</v>
      </c>
      <c r="W20" s="29">
        <v>0</v>
      </c>
    </row>
    <row r="21" spans="1:28" s="31" customFormat="1" ht="12.75" x14ac:dyDescent="0.2">
      <c r="A21" s="5" t="s">
        <v>48</v>
      </c>
      <c r="B21" s="130">
        <v>175</v>
      </c>
      <c r="C21" s="130">
        <v>117</v>
      </c>
      <c r="D21" s="130">
        <v>1617</v>
      </c>
      <c r="E21" s="130">
        <v>690</v>
      </c>
      <c r="F21" s="130">
        <v>0</v>
      </c>
      <c r="G21" s="26">
        <v>5</v>
      </c>
      <c r="H21" s="130">
        <v>20</v>
      </c>
      <c r="I21" s="130">
        <v>0</v>
      </c>
      <c r="J21" s="27">
        <v>0</v>
      </c>
      <c r="K21" s="28">
        <v>0</v>
      </c>
      <c r="L21" s="28">
        <v>0</v>
      </c>
      <c r="M21" s="130">
        <v>0</v>
      </c>
      <c r="N21" s="28">
        <v>0</v>
      </c>
      <c r="O21" s="29">
        <v>0</v>
      </c>
      <c r="P21" s="28">
        <v>150</v>
      </c>
      <c r="Q21" s="28">
        <v>0</v>
      </c>
      <c r="R21" s="130">
        <v>0</v>
      </c>
      <c r="S21" s="130">
        <v>0</v>
      </c>
      <c r="T21" s="28">
        <v>0</v>
      </c>
      <c r="U21" s="28">
        <v>0</v>
      </c>
      <c r="V21" s="130">
        <v>0</v>
      </c>
      <c r="W21" s="29">
        <v>0</v>
      </c>
    </row>
    <row r="22" spans="1:28" s="31" customFormat="1" ht="12.75" x14ac:dyDescent="0.2">
      <c r="A22" s="25" t="s">
        <v>49</v>
      </c>
      <c r="B22" s="130" t="s">
        <v>148</v>
      </c>
      <c r="C22" s="130">
        <v>35</v>
      </c>
      <c r="D22" s="138">
        <v>9</v>
      </c>
      <c r="E22" s="130">
        <v>67</v>
      </c>
      <c r="F22" s="130">
        <v>0</v>
      </c>
      <c r="G22" s="26">
        <v>0</v>
      </c>
      <c r="H22" s="130">
        <v>0</v>
      </c>
      <c r="I22" s="130">
        <v>0</v>
      </c>
      <c r="J22" s="27">
        <v>0</v>
      </c>
      <c r="K22" s="28">
        <v>0</v>
      </c>
      <c r="L22" s="28">
        <v>0</v>
      </c>
      <c r="M22" s="130">
        <v>40</v>
      </c>
      <c r="N22" s="130">
        <v>35</v>
      </c>
      <c r="O22" s="130">
        <v>2864</v>
      </c>
      <c r="P22" s="130">
        <v>45015</v>
      </c>
      <c r="Q22" s="130">
        <v>38</v>
      </c>
      <c r="R22" s="130">
        <v>40</v>
      </c>
      <c r="S22" s="130">
        <v>30525</v>
      </c>
      <c r="T22" s="130">
        <v>500</v>
      </c>
      <c r="U22" s="130">
        <v>3180</v>
      </c>
      <c r="V22" s="130">
        <v>4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33"/>
      <c r="J23" s="133"/>
      <c r="K23" s="133"/>
      <c r="L23" s="133"/>
      <c r="M23" s="133"/>
      <c r="N23" s="133"/>
      <c r="O23" s="133"/>
      <c r="P23" s="133"/>
      <c r="Q23" s="33"/>
      <c r="R23" s="33"/>
      <c r="S23" s="133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30">
        <v>0</v>
      </c>
      <c r="C25" s="130">
        <v>0</v>
      </c>
      <c r="D25" s="130">
        <v>0</v>
      </c>
      <c r="E25" s="27">
        <v>0</v>
      </c>
      <c r="F25" s="130">
        <v>0</v>
      </c>
      <c r="G25" s="32">
        <v>0</v>
      </c>
      <c r="H25" s="130">
        <v>0</v>
      </c>
      <c r="I25" s="32">
        <v>0</v>
      </c>
      <c r="J25" s="130">
        <v>0</v>
      </c>
      <c r="K25" s="130">
        <v>0</v>
      </c>
      <c r="L25" s="41">
        <v>0</v>
      </c>
      <c r="M25" s="27">
        <v>0</v>
      </c>
      <c r="N25" s="130">
        <v>0</v>
      </c>
      <c r="O25" s="130">
        <v>0</v>
      </c>
      <c r="P25" s="27">
        <v>0</v>
      </c>
      <c r="Q25" s="130">
        <v>0</v>
      </c>
      <c r="R25" s="130">
        <v>0</v>
      </c>
      <c r="S25" s="130">
        <v>0</v>
      </c>
      <c r="T25" s="130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30">
        <v>0</v>
      </c>
      <c r="C26" s="130">
        <v>0</v>
      </c>
      <c r="D26" s="130">
        <v>0</v>
      </c>
      <c r="E26" s="27">
        <v>0</v>
      </c>
      <c r="F26" s="130">
        <v>0</v>
      </c>
      <c r="G26" s="32">
        <v>0</v>
      </c>
      <c r="H26" s="130">
        <v>0</v>
      </c>
      <c r="I26" s="32">
        <v>0</v>
      </c>
      <c r="J26" s="130">
        <v>0</v>
      </c>
      <c r="K26" s="130">
        <v>0</v>
      </c>
      <c r="L26" s="41">
        <v>0</v>
      </c>
      <c r="M26" s="27">
        <v>0</v>
      </c>
      <c r="N26" s="130">
        <v>0</v>
      </c>
      <c r="O26" s="130">
        <v>0</v>
      </c>
      <c r="P26" s="27">
        <v>0</v>
      </c>
      <c r="Q26" s="130">
        <v>0</v>
      </c>
      <c r="R26" s="130">
        <v>0</v>
      </c>
      <c r="S26" s="130">
        <v>0</v>
      </c>
      <c r="T26" s="130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30">
        <v>0</v>
      </c>
      <c r="C27" s="130">
        <v>0</v>
      </c>
      <c r="D27" s="130">
        <v>0</v>
      </c>
      <c r="E27" s="27">
        <v>0</v>
      </c>
      <c r="F27" s="130">
        <v>0</v>
      </c>
      <c r="G27" s="32">
        <v>0</v>
      </c>
      <c r="H27" s="130">
        <v>0</v>
      </c>
      <c r="I27" s="32">
        <v>0</v>
      </c>
      <c r="J27" s="130">
        <v>0</v>
      </c>
      <c r="K27" s="130">
        <v>0</v>
      </c>
      <c r="L27" s="41">
        <v>0</v>
      </c>
      <c r="M27" s="27">
        <v>0</v>
      </c>
      <c r="N27" s="130">
        <v>0</v>
      </c>
      <c r="O27" s="130">
        <v>0</v>
      </c>
      <c r="P27" s="27">
        <v>0</v>
      </c>
      <c r="Q27" s="130">
        <v>0</v>
      </c>
      <c r="R27" s="130">
        <v>0</v>
      </c>
      <c r="S27" s="130">
        <v>0</v>
      </c>
      <c r="T27" s="130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30">
        <v>0</v>
      </c>
      <c r="C28" s="130">
        <v>0</v>
      </c>
      <c r="D28" s="130">
        <v>0</v>
      </c>
      <c r="E28" s="27">
        <v>0</v>
      </c>
      <c r="F28" s="130">
        <v>0</v>
      </c>
      <c r="G28" s="32">
        <v>0</v>
      </c>
      <c r="H28" s="130">
        <v>0</v>
      </c>
      <c r="I28" s="32">
        <v>0</v>
      </c>
      <c r="J28" s="130">
        <v>0</v>
      </c>
      <c r="K28" s="130">
        <v>0</v>
      </c>
      <c r="L28" s="41">
        <v>0</v>
      </c>
      <c r="M28" s="27">
        <v>0</v>
      </c>
      <c r="N28" s="130">
        <v>0</v>
      </c>
      <c r="O28" s="130">
        <v>0</v>
      </c>
      <c r="P28" s="27">
        <v>0</v>
      </c>
      <c r="Q28" s="130">
        <v>0</v>
      </c>
      <c r="R28" s="130">
        <v>0</v>
      </c>
      <c r="S28" s="130">
        <v>0</v>
      </c>
      <c r="T28" s="130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30">
        <v>1304</v>
      </c>
      <c r="C31" s="130">
        <v>1949</v>
      </c>
      <c r="D31" s="51">
        <v>248</v>
      </c>
      <c r="E31" s="130">
        <v>12005</v>
      </c>
      <c r="F31" s="130">
        <v>369</v>
      </c>
      <c r="G31" s="130">
        <v>348</v>
      </c>
      <c r="H31" s="130">
        <v>5891</v>
      </c>
      <c r="I31" s="130">
        <v>1018</v>
      </c>
      <c r="J31" s="130">
        <v>4859</v>
      </c>
      <c r="K31" s="130">
        <v>0</v>
      </c>
      <c r="L31" s="130">
        <v>315</v>
      </c>
      <c r="M31" s="28">
        <v>813</v>
      </c>
      <c r="N31" s="130">
        <v>4873</v>
      </c>
      <c r="O31" s="130">
        <v>2770</v>
      </c>
      <c r="P31" s="130">
        <v>127</v>
      </c>
      <c r="Q31" s="130">
        <v>7489</v>
      </c>
      <c r="R31" s="130">
        <v>6087</v>
      </c>
      <c r="S31" s="130">
        <v>8993</v>
      </c>
      <c r="T31" s="130">
        <v>3398</v>
      </c>
      <c r="U31" s="130">
        <v>8130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30">
        <v>50</v>
      </c>
      <c r="C32" s="130">
        <v>50</v>
      </c>
      <c r="D32" s="55">
        <v>0</v>
      </c>
      <c r="E32" s="55">
        <v>500</v>
      </c>
      <c r="F32" s="130">
        <v>0</v>
      </c>
      <c r="G32" s="130">
        <v>5</v>
      </c>
      <c r="H32" s="130">
        <v>20</v>
      </c>
      <c r="I32" s="130">
        <v>0</v>
      </c>
      <c r="J32" s="130">
        <v>0</v>
      </c>
      <c r="K32" s="130">
        <v>0</v>
      </c>
      <c r="L32" s="130">
        <v>0</v>
      </c>
      <c r="M32" s="28">
        <v>0</v>
      </c>
      <c r="N32" s="130">
        <v>0</v>
      </c>
      <c r="O32" s="130">
        <v>346</v>
      </c>
      <c r="P32" s="130">
        <v>5</v>
      </c>
      <c r="Q32" s="130">
        <v>0</v>
      </c>
      <c r="R32" s="130">
        <v>0</v>
      </c>
      <c r="S32" s="130">
        <v>0</v>
      </c>
      <c r="T32" s="130">
        <v>0</v>
      </c>
      <c r="U32" s="130">
        <v>1250</v>
      </c>
      <c r="V32" s="28">
        <v>0</v>
      </c>
      <c r="W32" s="27">
        <v>0</v>
      </c>
      <c r="X32" s="52">
        <v>0</v>
      </c>
      <c r="Y32" s="52">
        <v>10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30">
        <v>1000</v>
      </c>
      <c r="C33" s="130">
        <v>0</v>
      </c>
      <c r="D33" s="130">
        <v>0</v>
      </c>
      <c r="E33" s="32">
        <v>0</v>
      </c>
      <c r="F33" s="130">
        <v>1130</v>
      </c>
      <c r="G33" s="130">
        <v>0</v>
      </c>
      <c r="H33" s="130">
        <v>0</v>
      </c>
      <c r="I33" s="130">
        <v>0</v>
      </c>
      <c r="J33" s="130">
        <v>0</v>
      </c>
      <c r="K33" s="130">
        <v>0</v>
      </c>
      <c r="L33" s="130">
        <v>0</v>
      </c>
      <c r="M33" s="28">
        <v>0</v>
      </c>
      <c r="N33" s="130">
        <v>0</v>
      </c>
      <c r="O33" s="32">
        <v>0</v>
      </c>
      <c r="P33" s="130">
        <v>0</v>
      </c>
      <c r="Q33" s="130">
        <v>0</v>
      </c>
      <c r="R33" s="130">
        <v>0</v>
      </c>
      <c r="S33" s="130">
        <v>0</v>
      </c>
      <c r="T33" s="130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30">
        <v>2254</v>
      </c>
      <c r="C34" s="28">
        <v>1899</v>
      </c>
      <c r="D34" s="130">
        <v>248</v>
      </c>
      <c r="E34" s="130">
        <v>11505</v>
      </c>
      <c r="F34" s="130">
        <v>1499</v>
      </c>
      <c r="G34" s="130">
        <v>343</v>
      </c>
      <c r="H34" s="130">
        <v>5871</v>
      </c>
      <c r="I34" s="130">
        <v>1018</v>
      </c>
      <c r="J34" s="130">
        <v>4859</v>
      </c>
      <c r="K34" s="130">
        <f>K31-K32-K33</f>
        <v>0</v>
      </c>
      <c r="L34" s="130">
        <v>315</v>
      </c>
      <c r="M34" s="28">
        <v>813</v>
      </c>
      <c r="N34" s="130">
        <v>4873</v>
      </c>
      <c r="O34" s="130">
        <v>2424</v>
      </c>
      <c r="P34" s="130">
        <v>122</v>
      </c>
      <c r="Q34" s="130">
        <f>Q31-Q32-Q33</f>
        <v>7489</v>
      </c>
      <c r="R34" s="130">
        <f>R31-R32-R33</f>
        <v>6087</v>
      </c>
      <c r="S34" s="130">
        <f>S31-S32-S33</f>
        <v>8993</v>
      </c>
      <c r="T34" s="130">
        <f>T31-T32-T33</f>
        <v>3398</v>
      </c>
      <c r="U34" s="130">
        <v>6880</v>
      </c>
      <c r="V34" s="28">
        <v>3056</v>
      </c>
      <c r="W34" s="130">
        <f>W31-W32-W33</f>
        <v>17998</v>
      </c>
      <c r="X34" s="52">
        <v>1971</v>
      </c>
      <c r="Y34" s="52">
        <v>10761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190859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2135543.37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1987376.37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33"/>
      <c r="H39" s="211" t="s">
        <v>96</v>
      </c>
      <c r="I39" s="211"/>
      <c r="J39" s="258"/>
      <c r="K39" s="259">
        <v>95055.96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53111.040000000001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35" t="s">
        <v>99</v>
      </c>
      <c r="E43" s="253" t="s">
        <v>100</v>
      </c>
      <c r="F43" s="253"/>
      <c r="G43" s="253"/>
      <c r="H43" s="134" t="s">
        <v>99</v>
      </c>
      <c r="I43" s="135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35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78959</v>
      </c>
      <c r="C44" s="65">
        <v>79021</v>
      </c>
      <c r="D44" s="64">
        <v>3660</v>
      </c>
      <c r="E44" s="66">
        <v>78944</v>
      </c>
      <c r="F44" s="257">
        <v>78958</v>
      </c>
      <c r="G44" s="257"/>
      <c r="H44" s="67">
        <v>800</v>
      </c>
      <c r="I44" s="68">
        <v>0</v>
      </c>
      <c r="J44" s="248" t="s">
        <v>104</v>
      </c>
      <c r="K44" s="248"/>
      <c r="L44" s="248"/>
      <c r="M44" s="248"/>
      <c r="N44" s="248"/>
      <c r="O44" s="69">
        <v>100</v>
      </c>
      <c r="P44" s="63">
        <v>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33" t="s">
        <v>107</v>
      </c>
      <c r="E50" s="242">
        <v>4260</v>
      </c>
      <c r="F50" s="243"/>
      <c r="G50" s="243"/>
      <c r="H50" s="244"/>
      <c r="I50" s="1"/>
      <c r="J50" s="211" t="s">
        <v>108</v>
      </c>
      <c r="K50" s="211"/>
      <c r="L50" s="212"/>
      <c r="M50" s="218">
        <v>29386198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33" t="s">
        <v>109</v>
      </c>
      <c r="E51" s="242">
        <v>2289655</v>
      </c>
      <c r="F51" s="243"/>
      <c r="G51" s="243"/>
      <c r="H51" s="244"/>
      <c r="I51" s="1"/>
      <c r="J51" s="211" t="s">
        <v>110</v>
      </c>
      <c r="K51" s="211"/>
      <c r="L51" s="212"/>
      <c r="M51" s="218">
        <v>1782348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2293915</v>
      </c>
      <c r="F52" s="249"/>
      <c r="G52" s="249"/>
      <c r="H52" s="249"/>
      <c r="I52" s="1"/>
      <c r="J52" s="211" t="s">
        <v>112</v>
      </c>
      <c r="K52" s="211"/>
      <c r="L52" s="212"/>
      <c r="M52" s="250">
        <v>2289655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844335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1791104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29049170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29049170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"/>
  <sheetViews>
    <sheetView workbookViewId="0">
      <selection activeCell="F13" sqref="F13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141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25" t="s">
        <v>6</v>
      </c>
      <c r="J5" s="126"/>
      <c r="K5" s="126"/>
      <c r="L5" s="126"/>
      <c r="M5" s="293">
        <v>0.12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24">
        <v>22401</v>
      </c>
      <c r="E7" s="11"/>
      <c r="G7" s="12"/>
      <c r="H7" s="13"/>
      <c r="I7" s="278" t="s">
        <v>13</v>
      </c>
      <c r="J7" s="278"/>
      <c r="K7" s="278"/>
      <c r="L7" s="278"/>
      <c r="M7" s="290">
        <v>500</v>
      </c>
      <c r="N7" s="290"/>
      <c r="O7" s="291">
        <v>2.8500000000000001E-2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193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2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2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2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8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8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8" s="31" customFormat="1" ht="12.75" x14ac:dyDescent="0.2">
      <c r="A19" s="25" t="s">
        <v>46</v>
      </c>
      <c r="B19" s="124">
        <v>93</v>
      </c>
      <c r="C19" s="124">
        <v>56</v>
      </c>
      <c r="D19" s="124">
        <v>1255</v>
      </c>
      <c r="E19" s="124">
        <v>429</v>
      </c>
      <c r="F19" s="124">
        <v>0</v>
      </c>
      <c r="G19" s="26">
        <v>0</v>
      </c>
      <c r="H19" s="124">
        <v>0</v>
      </c>
      <c r="I19" s="124">
        <v>0</v>
      </c>
      <c r="J19" s="27">
        <v>0</v>
      </c>
      <c r="K19" s="28">
        <v>0</v>
      </c>
      <c r="L19" s="28">
        <v>0</v>
      </c>
      <c r="M19" s="124">
        <v>23</v>
      </c>
      <c r="N19" s="28">
        <v>0</v>
      </c>
      <c r="O19" s="29">
        <v>2884</v>
      </c>
      <c r="P19" s="28">
        <v>10375</v>
      </c>
      <c r="Q19" s="28">
        <v>38</v>
      </c>
      <c r="R19" s="28">
        <v>40</v>
      </c>
      <c r="S19" s="124">
        <v>30875</v>
      </c>
      <c r="T19" s="124">
        <v>500</v>
      </c>
      <c r="U19" s="30">
        <v>3180</v>
      </c>
      <c r="V19" s="30">
        <v>14</v>
      </c>
      <c r="W19" s="29">
        <v>349</v>
      </c>
    </row>
    <row r="20" spans="1:28" s="31" customFormat="1" ht="12.75" x14ac:dyDescent="0.2">
      <c r="A20" s="5" t="s">
        <v>47</v>
      </c>
      <c r="B20" s="124">
        <v>215</v>
      </c>
      <c r="C20" s="124">
        <v>250</v>
      </c>
      <c r="D20" s="124">
        <v>1194</v>
      </c>
      <c r="E20" s="124">
        <v>900</v>
      </c>
      <c r="F20" s="124">
        <v>151</v>
      </c>
      <c r="G20" s="26">
        <v>11</v>
      </c>
      <c r="H20" s="124">
        <v>10</v>
      </c>
      <c r="I20" s="124">
        <v>7</v>
      </c>
      <c r="J20" s="27">
        <v>0</v>
      </c>
      <c r="K20" s="28">
        <v>0</v>
      </c>
      <c r="L20" s="28">
        <v>0</v>
      </c>
      <c r="M20" s="124">
        <v>17</v>
      </c>
      <c r="N20" s="28">
        <v>60</v>
      </c>
      <c r="O20" s="29">
        <v>0</v>
      </c>
      <c r="P20" s="28" t="s">
        <v>145</v>
      </c>
      <c r="Q20" s="28">
        <v>0</v>
      </c>
      <c r="R20" s="124">
        <v>0</v>
      </c>
      <c r="S20" s="124">
        <v>0</v>
      </c>
      <c r="T20" s="28">
        <v>0</v>
      </c>
      <c r="U20" s="28">
        <v>0</v>
      </c>
      <c r="V20" s="124">
        <v>0</v>
      </c>
      <c r="W20" s="29">
        <v>0</v>
      </c>
    </row>
    <row r="21" spans="1:28" s="31" customFormat="1" ht="12.75" x14ac:dyDescent="0.2">
      <c r="A21" s="5" t="s">
        <v>48</v>
      </c>
      <c r="B21" s="124">
        <v>170</v>
      </c>
      <c r="C21" s="124">
        <v>204</v>
      </c>
      <c r="D21" s="124">
        <v>2073</v>
      </c>
      <c r="E21" s="124">
        <v>1081</v>
      </c>
      <c r="F21" s="124">
        <v>151</v>
      </c>
      <c r="G21" s="26">
        <v>11</v>
      </c>
      <c r="H21" s="124">
        <v>10</v>
      </c>
      <c r="I21" s="124">
        <v>7</v>
      </c>
      <c r="J21" s="27">
        <v>0</v>
      </c>
      <c r="K21" s="28">
        <v>0</v>
      </c>
      <c r="L21" s="28">
        <v>0</v>
      </c>
      <c r="M21" s="124">
        <v>0</v>
      </c>
      <c r="N21" s="28">
        <v>25</v>
      </c>
      <c r="O21" s="29">
        <v>20</v>
      </c>
      <c r="P21" s="28">
        <v>7710</v>
      </c>
      <c r="Q21" s="28">
        <v>0</v>
      </c>
      <c r="R21" s="124">
        <v>0</v>
      </c>
      <c r="S21" s="124">
        <v>350</v>
      </c>
      <c r="T21" s="28">
        <v>0</v>
      </c>
      <c r="U21" s="28">
        <v>0</v>
      </c>
      <c r="V21" s="124">
        <v>0</v>
      </c>
      <c r="W21" s="29">
        <v>0</v>
      </c>
    </row>
    <row r="22" spans="1:28" s="31" customFormat="1" ht="12.75" x14ac:dyDescent="0.2">
      <c r="A22" s="25" t="s">
        <v>49</v>
      </c>
      <c r="B22" s="128" t="s">
        <v>142</v>
      </c>
      <c r="C22" s="124">
        <v>102</v>
      </c>
      <c r="D22" s="138">
        <v>376</v>
      </c>
      <c r="E22" s="128" t="s">
        <v>146</v>
      </c>
      <c r="F22" s="124">
        <v>0</v>
      </c>
      <c r="G22" s="26">
        <v>0</v>
      </c>
      <c r="H22" s="124">
        <v>0</v>
      </c>
      <c r="I22" s="124">
        <v>0</v>
      </c>
      <c r="J22" s="27">
        <v>0</v>
      </c>
      <c r="K22" s="28">
        <v>0</v>
      </c>
      <c r="L22" s="28">
        <v>0</v>
      </c>
      <c r="M22" s="124">
        <v>40</v>
      </c>
      <c r="N22" s="124">
        <v>35</v>
      </c>
      <c r="O22" s="124">
        <v>2864</v>
      </c>
      <c r="P22" s="124">
        <v>17665</v>
      </c>
      <c r="Q22" s="124">
        <v>38</v>
      </c>
      <c r="R22" s="124">
        <v>40</v>
      </c>
      <c r="S22" s="124">
        <v>30525</v>
      </c>
      <c r="T22" s="124">
        <v>500</v>
      </c>
      <c r="U22" s="124">
        <v>3180</v>
      </c>
      <c r="V22" s="124">
        <v>14</v>
      </c>
      <c r="W22" s="29">
        <v>349</v>
      </c>
    </row>
    <row r="23" spans="1:28" x14ac:dyDescent="0.25">
      <c r="A23" s="281"/>
      <c r="B23" s="285"/>
      <c r="C23" s="285"/>
      <c r="D23" s="285"/>
      <c r="E23" s="285"/>
      <c r="F23" s="285"/>
      <c r="G23" s="285"/>
      <c r="H23" s="286"/>
      <c r="I23" s="121"/>
      <c r="J23" s="121"/>
      <c r="K23" s="121"/>
      <c r="L23" s="121"/>
      <c r="M23" s="121"/>
      <c r="N23" s="121"/>
      <c r="O23" s="121"/>
      <c r="P23" s="121"/>
      <c r="Q23" s="33"/>
      <c r="R23" s="33"/>
      <c r="S23" s="121"/>
      <c r="T23" s="33"/>
      <c r="U23" s="12"/>
      <c r="V23" s="33"/>
      <c r="W23" s="34"/>
      <c r="X23" s="1"/>
    </row>
    <row r="24" spans="1:28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8" x14ac:dyDescent="0.25">
      <c r="A25" s="25" t="s">
        <v>46</v>
      </c>
      <c r="B25" s="124">
        <v>0</v>
      </c>
      <c r="C25" s="124">
        <v>0</v>
      </c>
      <c r="D25" s="124">
        <v>0</v>
      </c>
      <c r="E25" s="27">
        <v>0</v>
      </c>
      <c r="F25" s="124">
        <v>0</v>
      </c>
      <c r="G25" s="32">
        <v>0</v>
      </c>
      <c r="H25" s="124">
        <v>0</v>
      </c>
      <c r="I25" s="32">
        <v>0</v>
      </c>
      <c r="J25" s="124">
        <v>0</v>
      </c>
      <c r="K25" s="124">
        <v>0</v>
      </c>
      <c r="L25" s="41">
        <v>0</v>
      </c>
      <c r="M25" s="27">
        <v>0</v>
      </c>
      <c r="N25" s="124">
        <v>0</v>
      </c>
      <c r="O25" s="124">
        <v>0</v>
      </c>
      <c r="P25" s="27">
        <v>0</v>
      </c>
      <c r="Q25" s="124">
        <v>0</v>
      </c>
      <c r="R25" s="124">
        <v>0</v>
      </c>
      <c r="S25" s="124">
        <v>0</v>
      </c>
      <c r="T25" s="124">
        <v>0</v>
      </c>
      <c r="U25" s="41">
        <v>0</v>
      </c>
      <c r="V25" s="42">
        <v>0</v>
      </c>
      <c r="W25" s="12"/>
      <c r="X25" s="12"/>
      <c r="Y25" s="12"/>
    </row>
    <row r="26" spans="1:28" x14ac:dyDescent="0.25">
      <c r="A26" s="5" t="s">
        <v>47</v>
      </c>
      <c r="B26" s="124">
        <v>0</v>
      </c>
      <c r="C26" s="124">
        <v>0</v>
      </c>
      <c r="D26" s="124">
        <v>0</v>
      </c>
      <c r="E26" s="27">
        <v>0</v>
      </c>
      <c r="F26" s="124">
        <v>0</v>
      </c>
      <c r="G26" s="32">
        <v>0</v>
      </c>
      <c r="H26" s="124">
        <v>0</v>
      </c>
      <c r="I26" s="32">
        <v>0</v>
      </c>
      <c r="J26" s="124">
        <v>0</v>
      </c>
      <c r="K26" s="124">
        <v>0</v>
      </c>
      <c r="L26" s="41">
        <v>0</v>
      </c>
      <c r="M26" s="27">
        <v>0</v>
      </c>
      <c r="N26" s="124">
        <v>0</v>
      </c>
      <c r="O26" s="124">
        <v>0</v>
      </c>
      <c r="P26" s="27">
        <v>0</v>
      </c>
      <c r="Q26" s="124">
        <v>0</v>
      </c>
      <c r="R26" s="124">
        <v>0</v>
      </c>
      <c r="S26" s="124">
        <v>0</v>
      </c>
      <c r="T26" s="124">
        <v>0</v>
      </c>
      <c r="U26" s="41">
        <v>0</v>
      </c>
      <c r="V26" s="42">
        <v>0</v>
      </c>
      <c r="W26" s="43"/>
      <c r="X26" s="12"/>
      <c r="Y26" s="12"/>
    </row>
    <row r="27" spans="1:28" x14ac:dyDescent="0.25">
      <c r="A27" s="5" t="s">
        <v>72</v>
      </c>
      <c r="B27" s="124">
        <v>0</v>
      </c>
      <c r="C27" s="124">
        <v>0</v>
      </c>
      <c r="D27" s="124">
        <v>0</v>
      </c>
      <c r="E27" s="27">
        <v>0</v>
      </c>
      <c r="F27" s="124">
        <v>0</v>
      </c>
      <c r="G27" s="32">
        <v>0</v>
      </c>
      <c r="H27" s="124">
        <v>0</v>
      </c>
      <c r="I27" s="32">
        <v>0</v>
      </c>
      <c r="J27" s="124">
        <v>0</v>
      </c>
      <c r="K27" s="124">
        <v>0</v>
      </c>
      <c r="L27" s="41">
        <v>0</v>
      </c>
      <c r="M27" s="27">
        <v>0</v>
      </c>
      <c r="N27" s="124">
        <v>0</v>
      </c>
      <c r="O27" s="124">
        <v>0</v>
      </c>
      <c r="P27" s="27">
        <v>0</v>
      </c>
      <c r="Q27" s="124">
        <v>0</v>
      </c>
      <c r="R27" s="124">
        <v>0</v>
      </c>
      <c r="S27" s="124">
        <v>0</v>
      </c>
      <c r="T27" s="124">
        <v>0</v>
      </c>
      <c r="U27" s="41">
        <v>0</v>
      </c>
      <c r="V27" s="42">
        <v>0</v>
      </c>
      <c r="W27" s="12"/>
      <c r="X27" s="12"/>
      <c r="Y27" s="12"/>
    </row>
    <row r="28" spans="1:28" x14ac:dyDescent="0.25">
      <c r="A28" s="25" t="s">
        <v>49</v>
      </c>
      <c r="B28" s="124">
        <v>0</v>
      </c>
      <c r="C28" s="124">
        <v>0</v>
      </c>
      <c r="D28" s="124">
        <v>0</v>
      </c>
      <c r="E28" s="27">
        <v>0</v>
      </c>
      <c r="F28" s="124">
        <v>0</v>
      </c>
      <c r="G28" s="32">
        <v>0</v>
      </c>
      <c r="H28" s="124">
        <v>0</v>
      </c>
      <c r="I28" s="32">
        <v>0</v>
      </c>
      <c r="J28" s="124">
        <v>0</v>
      </c>
      <c r="K28" s="124">
        <v>0</v>
      </c>
      <c r="L28" s="41">
        <v>0</v>
      </c>
      <c r="M28" s="27">
        <v>0</v>
      </c>
      <c r="N28" s="124">
        <v>0</v>
      </c>
      <c r="O28" s="124">
        <v>0</v>
      </c>
      <c r="P28" s="27">
        <v>0</v>
      </c>
      <c r="Q28" s="124">
        <v>0</v>
      </c>
      <c r="R28" s="124">
        <v>0</v>
      </c>
      <c r="S28" s="124">
        <v>0</v>
      </c>
      <c r="T28" s="124">
        <v>0</v>
      </c>
      <c r="U28" s="41">
        <v>0</v>
      </c>
      <c r="V28" s="42">
        <v>0</v>
      </c>
      <c r="W28" s="12"/>
      <c r="X28" s="12"/>
      <c r="Y28" s="12"/>
    </row>
    <row r="29" spans="1:28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8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136" t="s">
        <v>143</v>
      </c>
      <c r="AB30" s="44" t="s">
        <v>144</v>
      </c>
    </row>
    <row r="31" spans="1:28" x14ac:dyDescent="0.25">
      <c r="A31" s="25" t="s">
        <v>46</v>
      </c>
      <c r="B31" s="124">
        <v>1519</v>
      </c>
      <c r="C31" s="124">
        <v>2199</v>
      </c>
      <c r="D31" s="51">
        <v>1142</v>
      </c>
      <c r="E31" s="124">
        <v>12905</v>
      </c>
      <c r="F31" s="124">
        <v>520</v>
      </c>
      <c r="G31" s="124">
        <v>359</v>
      </c>
      <c r="H31" s="124">
        <v>5901</v>
      </c>
      <c r="I31" s="124">
        <v>1018</v>
      </c>
      <c r="J31" s="124">
        <v>4859</v>
      </c>
      <c r="K31" s="124">
        <v>0</v>
      </c>
      <c r="L31" s="124">
        <v>315</v>
      </c>
      <c r="M31" s="28">
        <v>820</v>
      </c>
      <c r="N31" s="124">
        <v>4873</v>
      </c>
      <c r="O31" s="124">
        <v>3267</v>
      </c>
      <c r="P31" s="124">
        <v>129</v>
      </c>
      <c r="Q31" s="124">
        <v>7489</v>
      </c>
      <c r="R31" s="124">
        <v>6087</v>
      </c>
      <c r="S31" s="124">
        <v>8993</v>
      </c>
      <c r="T31" s="124">
        <v>3398</v>
      </c>
      <c r="U31" s="124">
        <v>8430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137">
        <v>156</v>
      </c>
      <c r="AB31" s="53">
        <v>310</v>
      </c>
    </row>
    <row r="32" spans="1:28" x14ac:dyDescent="0.25">
      <c r="A32" s="5" t="s">
        <v>47</v>
      </c>
      <c r="B32" s="124">
        <v>215</v>
      </c>
      <c r="C32" s="124">
        <v>250</v>
      </c>
      <c r="D32" s="55">
        <v>894</v>
      </c>
      <c r="E32" s="55">
        <v>900</v>
      </c>
      <c r="F32" s="124">
        <v>151</v>
      </c>
      <c r="G32" s="124">
        <v>11</v>
      </c>
      <c r="H32" s="124">
        <v>10</v>
      </c>
      <c r="I32" s="124">
        <v>0</v>
      </c>
      <c r="J32" s="124">
        <v>0</v>
      </c>
      <c r="K32" s="124">
        <v>0</v>
      </c>
      <c r="L32" s="124">
        <v>0</v>
      </c>
      <c r="M32" s="28">
        <v>7</v>
      </c>
      <c r="N32" s="124">
        <v>0</v>
      </c>
      <c r="O32" s="124">
        <v>497</v>
      </c>
      <c r="P32" s="124">
        <v>2</v>
      </c>
      <c r="Q32" s="124">
        <v>0</v>
      </c>
      <c r="R32" s="124">
        <v>0</v>
      </c>
      <c r="S32" s="124">
        <v>0</v>
      </c>
      <c r="T32" s="124">
        <v>0</v>
      </c>
      <c r="U32" s="124">
        <v>300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137">
        <v>0</v>
      </c>
      <c r="AB32" s="53">
        <v>0</v>
      </c>
    </row>
    <row r="33" spans="1:28" x14ac:dyDescent="0.25">
      <c r="A33" s="5" t="s">
        <v>72</v>
      </c>
      <c r="B33" s="124">
        <v>0</v>
      </c>
      <c r="C33" s="124">
        <v>0</v>
      </c>
      <c r="D33" s="124">
        <v>0</v>
      </c>
      <c r="E33" s="32">
        <v>0</v>
      </c>
      <c r="F33" s="124">
        <v>0</v>
      </c>
      <c r="G33" s="124">
        <v>0</v>
      </c>
      <c r="H33" s="124">
        <v>0</v>
      </c>
      <c r="I33" s="124">
        <v>0</v>
      </c>
      <c r="J33" s="124">
        <v>0</v>
      </c>
      <c r="K33" s="124">
        <v>0</v>
      </c>
      <c r="L33" s="124">
        <v>0</v>
      </c>
      <c r="M33" s="28">
        <v>0</v>
      </c>
      <c r="N33" s="124">
        <v>0</v>
      </c>
      <c r="O33" s="32">
        <v>0</v>
      </c>
      <c r="P33" s="124">
        <v>0</v>
      </c>
      <c r="Q33" s="124">
        <v>0</v>
      </c>
      <c r="R33" s="124">
        <v>0</v>
      </c>
      <c r="S33" s="124">
        <v>0</v>
      </c>
      <c r="T33" s="12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137">
        <v>0</v>
      </c>
      <c r="AB33" s="53">
        <v>0</v>
      </c>
    </row>
    <row r="34" spans="1:28" x14ac:dyDescent="0.25">
      <c r="A34" s="25" t="s">
        <v>49</v>
      </c>
      <c r="B34" s="124">
        <v>1304</v>
      </c>
      <c r="C34" s="28">
        <v>1949</v>
      </c>
      <c r="D34" s="124">
        <v>248</v>
      </c>
      <c r="E34" s="124">
        <v>12005</v>
      </c>
      <c r="F34" s="124">
        <v>369</v>
      </c>
      <c r="G34" s="124">
        <v>348</v>
      </c>
      <c r="H34" s="124">
        <v>5891</v>
      </c>
      <c r="I34" s="124">
        <v>1018</v>
      </c>
      <c r="J34" s="124">
        <v>4859</v>
      </c>
      <c r="K34" s="124">
        <f>K31-K32-K33</f>
        <v>0</v>
      </c>
      <c r="L34" s="124">
        <v>315</v>
      </c>
      <c r="M34" s="28">
        <v>813</v>
      </c>
      <c r="N34" s="124">
        <v>4873</v>
      </c>
      <c r="O34" s="124">
        <v>2770</v>
      </c>
      <c r="P34" s="124">
        <v>127</v>
      </c>
      <c r="Q34" s="124">
        <f>Q31-Q32-Q33</f>
        <v>7489</v>
      </c>
      <c r="R34" s="124">
        <f>R31-R32-R33</f>
        <v>6087</v>
      </c>
      <c r="S34" s="124">
        <f>S31-S32-S33</f>
        <v>8993</v>
      </c>
      <c r="T34" s="124">
        <f>T31-T32-T33</f>
        <v>3398</v>
      </c>
      <c r="U34" s="124">
        <v>8130</v>
      </c>
      <c r="V34" s="28">
        <v>3056</v>
      </c>
      <c r="W34" s="124">
        <v>17998</v>
      </c>
      <c r="X34" s="52">
        <v>1971</v>
      </c>
      <c r="Y34" s="52">
        <v>10771</v>
      </c>
      <c r="Z34" s="53">
        <v>19641</v>
      </c>
      <c r="AA34" s="137">
        <v>156</v>
      </c>
      <c r="AB34" s="53">
        <v>310</v>
      </c>
    </row>
    <row r="35" spans="1:28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8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8" ht="15.75" thickBot="1" x14ac:dyDescent="0.3">
      <c r="A37" s="25" t="s">
        <v>93</v>
      </c>
      <c r="B37" s="267">
        <v>147387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1684073.52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8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1315741.1200000001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8" x14ac:dyDescent="0.25">
      <c r="A39" s="1"/>
      <c r="B39" s="1"/>
      <c r="C39" s="1"/>
      <c r="D39" s="1"/>
      <c r="E39" s="1"/>
      <c r="F39" s="1"/>
      <c r="G39" s="121"/>
      <c r="H39" s="211" t="s">
        <v>96</v>
      </c>
      <c r="I39" s="211"/>
      <c r="J39" s="258"/>
      <c r="K39" s="259">
        <v>95055.96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8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273276.44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8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8" x14ac:dyDescent="0.25">
      <c r="A43" s="2"/>
      <c r="B43" s="242" t="s">
        <v>98</v>
      </c>
      <c r="C43" s="243"/>
      <c r="D43" s="123" t="s">
        <v>99</v>
      </c>
      <c r="E43" s="253" t="s">
        <v>100</v>
      </c>
      <c r="F43" s="253"/>
      <c r="G43" s="253"/>
      <c r="H43" s="122" t="s">
        <v>99</v>
      </c>
      <c r="I43" s="12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23" t="s">
        <v>100</v>
      </c>
      <c r="S43" s="1"/>
      <c r="T43" s="1"/>
      <c r="U43" s="1"/>
      <c r="V43" s="1"/>
      <c r="W43" s="1"/>
      <c r="X43" s="1"/>
    </row>
    <row r="44" spans="1:28" x14ac:dyDescent="0.25">
      <c r="A44" s="25" t="s">
        <v>103</v>
      </c>
      <c r="B44" s="64">
        <v>78888</v>
      </c>
      <c r="C44" s="65">
        <v>78943</v>
      </c>
      <c r="D44" s="64">
        <v>3670</v>
      </c>
      <c r="E44" s="66">
        <v>78866</v>
      </c>
      <c r="F44" s="257">
        <v>78887</v>
      </c>
      <c r="G44" s="257"/>
      <c r="H44" s="67">
        <v>720</v>
      </c>
      <c r="I44" s="68">
        <v>30</v>
      </c>
      <c r="J44" s="248" t="s">
        <v>104</v>
      </c>
      <c r="K44" s="248"/>
      <c r="L44" s="248"/>
      <c r="M44" s="248"/>
      <c r="N44" s="248"/>
      <c r="O44" s="69">
        <v>260</v>
      </c>
      <c r="P44" s="63">
        <v>130</v>
      </c>
      <c r="S44" s="1"/>
      <c r="T44" s="1"/>
      <c r="U44" s="1"/>
      <c r="V44" s="1"/>
      <c r="W44" s="1"/>
      <c r="X44" s="1"/>
    </row>
    <row r="45" spans="1:28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3870</v>
      </c>
      <c r="P45" s="237"/>
      <c r="Q45" s="1"/>
      <c r="S45" s="1"/>
      <c r="T45" s="1"/>
      <c r="U45" s="1"/>
      <c r="V45" s="1"/>
      <c r="W45" s="1"/>
      <c r="X45" s="1"/>
    </row>
    <row r="46" spans="1:28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8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8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21" t="s">
        <v>107</v>
      </c>
      <c r="E50" s="242">
        <v>8846</v>
      </c>
      <c r="F50" s="243"/>
      <c r="G50" s="243"/>
      <c r="H50" s="244"/>
      <c r="I50" s="1"/>
      <c r="J50" s="211" t="s">
        <v>108</v>
      </c>
      <c r="K50" s="211"/>
      <c r="L50" s="212"/>
      <c r="M50" s="218">
        <v>28209811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21" t="s">
        <v>109</v>
      </c>
      <c r="E51" s="242">
        <v>2596238</v>
      </c>
      <c r="F51" s="243"/>
      <c r="G51" s="243"/>
      <c r="H51" s="244"/>
      <c r="I51" s="1"/>
      <c r="J51" s="211" t="s">
        <v>110</v>
      </c>
      <c r="K51" s="211"/>
      <c r="L51" s="212"/>
      <c r="M51" s="218">
        <v>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2605084</v>
      </c>
      <c r="F52" s="249"/>
      <c r="G52" s="249"/>
      <c r="H52" s="249"/>
      <c r="I52" s="1"/>
      <c r="J52" s="211" t="s">
        <v>112</v>
      </c>
      <c r="K52" s="211"/>
      <c r="L52" s="212"/>
      <c r="M52" s="250">
        <v>2273229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1096842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1557713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29386198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29386198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M7" sqref="M7:N7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140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17" t="s">
        <v>6</v>
      </c>
      <c r="J5" s="118"/>
      <c r="K5" s="118"/>
      <c r="L5" s="118"/>
      <c r="M5" s="293">
        <v>0.11700000000000001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20">
        <v>21496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233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19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19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13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116">
        <v>213</v>
      </c>
      <c r="C19" s="116">
        <v>53</v>
      </c>
      <c r="D19" s="116">
        <v>1494</v>
      </c>
      <c r="E19" s="116">
        <v>69</v>
      </c>
      <c r="F19" s="116">
        <v>0</v>
      </c>
      <c r="G19" s="26">
        <v>0</v>
      </c>
      <c r="H19" s="116">
        <v>0</v>
      </c>
      <c r="I19" s="116">
        <v>0</v>
      </c>
      <c r="J19" s="27">
        <v>0</v>
      </c>
      <c r="K19" s="28">
        <v>0</v>
      </c>
      <c r="L19" s="28">
        <v>0</v>
      </c>
      <c r="M19" s="116">
        <v>23</v>
      </c>
      <c r="N19" s="28">
        <v>0</v>
      </c>
      <c r="O19" s="29">
        <v>2884</v>
      </c>
      <c r="P19" s="28">
        <v>10600</v>
      </c>
      <c r="Q19" s="28">
        <v>38</v>
      </c>
      <c r="R19" s="28">
        <v>40</v>
      </c>
      <c r="S19" s="116">
        <v>30975</v>
      </c>
      <c r="T19" s="116">
        <v>500</v>
      </c>
      <c r="U19" s="30">
        <v>3180</v>
      </c>
      <c r="V19" s="30">
        <v>14</v>
      </c>
      <c r="W19" s="29">
        <v>349</v>
      </c>
    </row>
    <row r="20" spans="1:27" s="31" customFormat="1" ht="12.75" x14ac:dyDescent="0.2">
      <c r="A20" s="5" t="s">
        <v>47</v>
      </c>
      <c r="B20" s="116">
        <v>100</v>
      </c>
      <c r="C20" s="116">
        <v>100</v>
      </c>
      <c r="D20" s="116">
        <v>450</v>
      </c>
      <c r="E20" s="116">
        <v>890</v>
      </c>
      <c r="F20" s="116">
        <v>1</v>
      </c>
      <c r="G20" s="26">
        <v>15</v>
      </c>
      <c r="H20" s="116">
        <v>5</v>
      </c>
      <c r="I20" s="116">
        <v>2</v>
      </c>
      <c r="J20" s="27">
        <v>0</v>
      </c>
      <c r="K20" s="28">
        <v>0</v>
      </c>
      <c r="L20" s="28">
        <v>0</v>
      </c>
      <c r="M20" s="116">
        <v>0</v>
      </c>
      <c r="N20" s="28">
        <v>0</v>
      </c>
      <c r="O20" s="29">
        <v>0</v>
      </c>
      <c r="P20" s="28">
        <v>0</v>
      </c>
      <c r="Q20" s="28">
        <v>0</v>
      </c>
      <c r="R20" s="116">
        <v>0</v>
      </c>
      <c r="S20" s="116">
        <v>0</v>
      </c>
      <c r="T20" s="28">
        <v>0</v>
      </c>
      <c r="U20" s="28">
        <v>0</v>
      </c>
      <c r="V20" s="116">
        <v>0</v>
      </c>
      <c r="W20" s="29">
        <v>0</v>
      </c>
    </row>
    <row r="21" spans="1:27" s="31" customFormat="1" ht="12.75" x14ac:dyDescent="0.2">
      <c r="A21" s="5" t="s">
        <v>48</v>
      </c>
      <c r="B21" s="116">
        <v>220</v>
      </c>
      <c r="C21" s="116">
        <v>97</v>
      </c>
      <c r="D21" s="116">
        <v>689</v>
      </c>
      <c r="E21" s="116">
        <v>530</v>
      </c>
      <c r="F21" s="116">
        <v>1</v>
      </c>
      <c r="G21" s="26">
        <v>15</v>
      </c>
      <c r="H21" s="116">
        <v>5</v>
      </c>
      <c r="I21" s="116">
        <v>2</v>
      </c>
      <c r="J21" s="27">
        <v>0</v>
      </c>
      <c r="K21" s="28">
        <v>0</v>
      </c>
      <c r="L21" s="28">
        <v>0</v>
      </c>
      <c r="M21" s="116">
        <v>0</v>
      </c>
      <c r="N21" s="28">
        <v>0</v>
      </c>
      <c r="O21" s="29">
        <v>0</v>
      </c>
      <c r="P21" s="28">
        <v>225</v>
      </c>
      <c r="Q21" s="28">
        <v>0</v>
      </c>
      <c r="R21" s="116">
        <v>0</v>
      </c>
      <c r="S21" s="116">
        <v>100</v>
      </c>
      <c r="T21" s="28">
        <v>0</v>
      </c>
      <c r="U21" s="28">
        <v>0</v>
      </c>
      <c r="V21" s="116">
        <v>0</v>
      </c>
      <c r="W21" s="29">
        <v>0</v>
      </c>
    </row>
    <row r="22" spans="1:27" s="31" customFormat="1" ht="12.75" x14ac:dyDescent="0.2">
      <c r="A22" s="25" t="s">
        <v>49</v>
      </c>
      <c r="B22" s="116">
        <v>93</v>
      </c>
      <c r="C22" s="116">
        <v>56</v>
      </c>
      <c r="D22" s="116">
        <v>1255</v>
      </c>
      <c r="E22" s="32">
        <v>429</v>
      </c>
      <c r="F22" s="116">
        <v>0</v>
      </c>
      <c r="G22" s="26">
        <v>0</v>
      </c>
      <c r="H22" s="116">
        <v>0</v>
      </c>
      <c r="I22" s="116">
        <v>0</v>
      </c>
      <c r="J22" s="27">
        <v>0</v>
      </c>
      <c r="K22" s="28">
        <v>0</v>
      </c>
      <c r="L22" s="28">
        <v>0</v>
      </c>
      <c r="M22" s="116">
        <v>23</v>
      </c>
      <c r="N22" s="116">
        <v>0</v>
      </c>
      <c r="O22" s="116">
        <v>2884</v>
      </c>
      <c r="P22" s="116">
        <v>10375</v>
      </c>
      <c r="Q22" s="116">
        <v>38</v>
      </c>
      <c r="R22" s="116">
        <v>40</v>
      </c>
      <c r="S22" s="116">
        <v>30875</v>
      </c>
      <c r="T22" s="116">
        <v>500</v>
      </c>
      <c r="U22" s="116">
        <v>3180</v>
      </c>
      <c r="V22" s="116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13"/>
      <c r="J23" s="113"/>
      <c r="K23" s="113"/>
      <c r="L23" s="113"/>
      <c r="M23" s="113"/>
      <c r="N23" s="113"/>
      <c r="O23" s="113"/>
      <c r="P23" s="113"/>
      <c r="Q23" s="33"/>
      <c r="R23" s="33"/>
      <c r="S23" s="113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116">
        <v>0</v>
      </c>
      <c r="C25" s="116">
        <v>0</v>
      </c>
      <c r="D25" s="116">
        <v>0</v>
      </c>
      <c r="E25" s="27">
        <v>0</v>
      </c>
      <c r="F25" s="116">
        <v>0</v>
      </c>
      <c r="G25" s="32">
        <v>0</v>
      </c>
      <c r="H25" s="116">
        <v>0</v>
      </c>
      <c r="I25" s="32">
        <v>0</v>
      </c>
      <c r="J25" s="116">
        <v>0</v>
      </c>
      <c r="K25" s="116">
        <v>0</v>
      </c>
      <c r="L25" s="41">
        <v>0</v>
      </c>
      <c r="M25" s="27">
        <v>0</v>
      </c>
      <c r="N25" s="116">
        <v>0</v>
      </c>
      <c r="O25" s="116">
        <v>0</v>
      </c>
      <c r="P25" s="27">
        <v>0</v>
      </c>
      <c r="Q25" s="116">
        <v>0</v>
      </c>
      <c r="R25" s="116">
        <v>0</v>
      </c>
      <c r="S25" s="116">
        <v>0</v>
      </c>
      <c r="T25" s="116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116">
        <v>0</v>
      </c>
      <c r="C26" s="116">
        <v>0</v>
      </c>
      <c r="D26" s="116">
        <v>0</v>
      </c>
      <c r="E26" s="27">
        <v>0</v>
      </c>
      <c r="F26" s="116">
        <v>0</v>
      </c>
      <c r="G26" s="32">
        <v>0</v>
      </c>
      <c r="H26" s="116">
        <v>0</v>
      </c>
      <c r="I26" s="32">
        <v>0</v>
      </c>
      <c r="J26" s="116">
        <v>0</v>
      </c>
      <c r="K26" s="116">
        <v>0</v>
      </c>
      <c r="L26" s="41">
        <v>0</v>
      </c>
      <c r="M26" s="27">
        <v>0</v>
      </c>
      <c r="N26" s="116">
        <v>0</v>
      </c>
      <c r="O26" s="116">
        <v>0</v>
      </c>
      <c r="P26" s="27">
        <v>0</v>
      </c>
      <c r="Q26" s="116">
        <v>0</v>
      </c>
      <c r="R26" s="116">
        <v>0</v>
      </c>
      <c r="S26" s="116">
        <v>0</v>
      </c>
      <c r="T26" s="116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116">
        <v>0</v>
      </c>
      <c r="C27" s="116">
        <v>0</v>
      </c>
      <c r="D27" s="116">
        <v>0</v>
      </c>
      <c r="E27" s="27">
        <v>0</v>
      </c>
      <c r="F27" s="116">
        <v>0</v>
      </c>
      <c r="G27" s="32">
        <v>0</v>
      </c>
      <c r="H27" s="116">
        <v>0</v>
      </c>
      <c r="I27" s="32">
        <v>0</v>
      </c>
      <c r="J27" s="116">
        <v>0</v>
      </c>
      <c r="K27" s="116">
        <v>0</v>
      </c>
      <c r="L27" s="41">
        <v>0</v>
      </c>
      <c r="M27" s="27">
        <v>0</v>
      </c>
      <c r="N27" s="116">
        <v>0</v>
      </c>
      <c r="O27" s="116">
        <v>0</v>
      </c>
      <c r="P27" s="27">
        <v>0</v>
      </c>
      <c r="Q27" s="116">
        <v>0</v>
      </c>
      <c r="R27" s="116">
        <v>0</v>
      </c>
      <c r="S27" s="116">
        <v>0</v>
      </c>
      <c r="T27" s="116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116">
        <v>0</v>
      </c>
      <c r="C28" s="116">
        <v>0</v>
      </c>
      <c r="D28" s="116">
        <v>0</v>
      </c>
      <c r="E28" s="27">
        <v>0</v>
      </c>
      <c r="F28" s="116">
        <v>0</v>
      </c>
      <c r="G28" s="32">
        <v>0</v>
      </c>
      <c r="H28" s="116">
        <v>0</v>
      </c>
      <c r="I28" s="32">
        <v>0</v>
      </c>
      <c r="J28" s="116">
        <v>0</v>
      </c>
      <c r="K28" s="116">
        <v>0</v>
      </c>
      <c r="L28" s="41">
        <v>0</v>
      </c>
      <c r="M28" s="27">
        <v>0</v>
      </c>
      <c r="N28" s="116">
        <v>0</v>
      </c>
      <c r="O28" s="116">
        <v>0</v>
      </c>
      <c r="P28" s="27">
        <v>0</v>
      </c>
      <c r="Q28" s="116">
        <v>0</v>
      </c>
      <c r="R28" s="116">
        <v>0</v>
      </c>
      <c r="S28" s="116">
        <v>0</v>
      </c>
      <c r="T28" s="116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116">
        <v>1619</v>
      </c>
      <c r="C31" s="116">
        <v>2299</v>
      </c>
      <c r="D31" s="51">
        <v>1592</v>
      </c>
      <c r="E31" s="116">
        <v>13795</v>
      </c>
      <c r="F31" s="116">
        <v>521</v>
      </c>
      <c r="G31" s="116">
        <v>374</v>
      </c>
      <c r="H31" s="116">
        <v>5906</v>
      </c>
      <c r="I31" s="116">
        <v>1018</v>
      </c>
      <c r="J31" s="116">
        <v>4859</v>
      </c>
      <c r="K31" s="116">
        <v>0</v>
      </c>
      <c r="L31" s="116">
        <v>315</v>
      </c>
      <c r="M31" s="28">
        <v>822</v>
      </c>
      <c r="N31" s="116">
        <v>4873</v>
      </c>
      <c r="O31" s="116">
        <v>3424</v>
      </c>
      <c r="P31" s="116">
        <v>129</v>
      </c>
      <c r="Q31" s="116">
        <v>7489</v>
      </c>
      <c r="R31" s="116">
        <v>6087</v>
      </c>
      <c r="S31" s="116">
        <v>8993</v>
      </c>
      <c r="T31" s="116">
        <v>3398</v>
      </c>
      <c r="U31" s="116">
        <v>8430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54"/>
    </row>
    <row r="32" spans="1:27" x14ac:dyDescent="0.25">
      <c r="A32" s="5" t="s">
        <v>47</v>
      </c>
      <c r="B32" s="116">
        <v>100</v>
      </c>
      <c r="C32" s="116">
        <v>100</v>
      </c>
      <c r="D32" s="55">
        <v>450</v>
      </c>
      <c r="E32" s="55">
        <v>490</v>
      </c>
      <c r="F32" s="116">
        <v>1</v>
      </c>
      <c r="G32" s="116">
        <v>15</v>
      </c>
      <c r="H32" s="116">
        <v>5</v>
      </c>
      <c r="I32" s="116">
        <v>0</v>
      </c>
      <c r="J32" s="116">
        <v>0</v>
      </c>
      <c r="K32" s="116">
        <v>0</v>
      </c>
      <c r="L32" s="116">
        <v>0</v>
      </c>
      <c r="M32" s="28">
        <v>2</v>
      </c>
      <c r="N32" s="116">
        <v>0</v>
      </c>
      <c r="O32" s="116">
        <v>157</v>
      </c>
      <c r="P32" s="116">
        <v>0</v>
      </c>
      <c r="Q32" s="116">
        <v>0</v>
      </c>
      <c r="R32" s="116">
        <v>0</v>
      </c>
      <c r="S32" s="116">
        <v>0</v>
      </c>
      <c r="T32" s="116">
        <v>0</v>
      </c>
      <c r="U32" s="116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116">
        <v>0</v>
      </c>
      <c r="C33" s="116">
        <v>0</v>
      </c>
      <c r="D33" s="116">
        <v>0</v>
      </c>
      <c r="E33" s="32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>
        <v>0</v>
      </c>
      <c r="M33" s="28">
        <v>0</v>
      </c>
      <c r="N33" s="116">
        <v>0</v>
      </c>
      <c r="O33" s="32">
        <v>0</v>
      </c>
      <c r="P33" s="116">
        <v>0</v>
      </c>
      <c r="Q33" s="116">
        <v>0</v>
      </c>
      <c r="R33" s="116">
        <v>0</v>
      </c>
      <c r="S33" s="116">
        <v>0</v>
      </c>
      <c r="T33" s="116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116">
        <v>1519</v>
      </c>
      <c r="C34" s="28">
        <v>2199</v>
      </c>
      <c r="D34" s="116">
        <v>1142</v>
      </c>
      <c r="E34" s="116">
        <v>12905</v>
      </c>
      <c r="F34" s="116">
        <v>520</v>
      </c>
      <c r="G34" s="116">
        <v>359</v>
      </c>
      <c r="H34" s="116">
        <v>5901</v>
      </c>
      <c r="I34" s="116">
        <v>1018</v>
      </c>
      <c r="J34" s="116">
        <v>4859</v>
      </c>
      <c r="K34" s="116">
        <f>K31-K32-K33</f>
        <v>0</v>
      </c>
      <c r="L34" s="116">
        <v>315</v>
      </c>
      <c r="M34" s="28">
        <v>820</v>
      </c>
      <c r="N34" s="116">
        <v>4873</v>
      </c>
      <c r="O34" s="116">
        <v>3267</v>
      </c>
      <c r="P34" s="116">
        <v>129</v>
      </c>
      <c r="Q34" s="116">
        <f>Q31-Q32-Q33</f>
        <v>7489</v>
      </c>
      <c r="R34" s="116">
        <f>R31-R32-R33</f>
        <v>6087</v>
      </c>
      <c r="S34" s="116">
        <f>S31-S32-S33</f>
        <v>8993</v>
      </c>
      <c r="T34" s="116">
        <f>T31-T32-T33</f>
        <v>3398</v>
      </c>
      <c r="U34" s="116">
        <v>8430</v>
      </c>
      <c r="V34" s="28">
        <v>3056</v>
      </c>
      <c r="W34" s="116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261427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1095458.96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941598.74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13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58451.44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115" t="s">
        <v>99</v>
      </c>
      <c r="E43" s="253" t="s">
        <v>100</v>
      </c>
      <c r="F43" s="253"/>
      <c r="G43" s="253"/>
      <c r="H43" s="114" t="s">
        <v>99</v>
      </c>
      <c r="I43" s="115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15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78820</v>
      </c>
      <c r="C44" s="65">
        <v>78865</v>
      </c>
      <c r="D44" s="64">
        <v>4680</v>
      </c>
      <c r="E44" s="66">
        <v>78803</v>
      </c>
      <c r="F44" s="257">
        <v>78819</v>
      </c>
      <c r="G44" s="257"/>
      <c r="H44" s="67">
        <v>930</v>
      </c>
      <c r="I44" s="68">
        <v>30</v>
      </c>
      <c r="J44" s="248" t="s">
        <v>104</v>
      </c>
      <c r="K44" s="248"/>
      <c r="L44" s="248"/>
      <c r="M44" s="248"/>
      <c r="N44" s="248"/>
      <c r="O44" s="69">
        <v>160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13" t="s">
        <v>107</v>
      </c>
      <c r="E50" s="242">
        <v>11424</v>
      </c>
      <c r="F50" s="243"/>
      <c r="G50" s="243"/>
      <c r="H50" s="244"/>
      <c r="I50" s="1"/>
      <c r="J50" s="211" t="s">
        <v>108</v>
      </c>
      <c r="K50" s="211"/>
      <c r="L50" s="212"/>
      <c r="M50" s="218">
        <v>28259255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13" t="s">
        <v>109</v>
      </c>
      <c r="E51" s="242">
        <v>1293304</v>
      </c>
      <c r="F51" s="243"/>
      <c r="G51" s="243"/>
      <c r="H51" s="244"/>
      <c r="I51" s="1"/>
      <c r="J51" s="211" t="s">
        <v>110</v>
      </c>
      <c r="K51" s="211"/>
      <c r="L51" s="212"/>
      <c r="M51" s="218">
        <v>134880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1304728</v>
      </c>
      <c r="F52" s="249"/>
      <c r="G52" s="249"/>
      <c r="H52" s="249"/>
      <c r="I52" s="1"/>
      <c r="J52" s="211" t="s">
        <v>112</v>
      </c>
      <c r="K52" s="211"/>
      <c r="L52" s="212"/>
      <c r="M52" s="250">
        <v>1263340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408657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1173790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28979058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28979058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A32" sqref="A32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138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108" t="s">
        <v>6</v>
      </c>
      <c r="J5" s="109"/>
      <c r="K5" s="109"/>
      <c r="L5" s="109"/>
      <c r="M5" s="293">
        <v>0.122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10">
        <v>21836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11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11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05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110">
        <v>217</v>
      </c>
      <c r="C19" s="110">
        <v>135</v>
      </c>
      <c r="D19" s="110">
        <v>1093</v>
      </c>
      <c r="E19" s="110">
        <v>251</v>
      </c>
      <c r="F19" s="110">
        <v>0</v>
      </c>
      <c r="G19" s="26">
        <v>0</v>
      </c>
      <c r="H19" s="110">
        <v>0</v>
      </c>
      <c r="I19" s="110">
        <v>0</v>
      </c>
      <c r="J19" s="27">
        <v>0</v>
      </c>
      <c r="K19" s="28">
        <v>0</v>
      </c>
      <c r="L19" s="28">
        <v>0</v>
      </c>
      <c r="M19" s="110">
        <v>23</v>
      </c>
      <c r="N19" s="28">
        <v>0</v>
      </c>
      <c r="O19" s="29">
        <v>2884</v>
      </c>
      <c r="P19" s="28">
        <v>10900</v>
      </c>
      <c r="Q19" s="28">
        <v>38</v>
      </c>
      <c r="R19" s="28">
        <v>40</v>
      </c>
      <c r="S19" s="110">
        <v>6025</v>
      </c>
      <c r="T19" s="110">
        <v>500</v>
      </c>
      <c r="U19" s="30">
        <v>3180</v>
      </c>
      <c r="V19" s="30">
        <v>14</v>
      </c>
      <c r="W19" s="29">
        <v>349</v>
      </c>
    </row>
    <row r="20" spans="1:27" s="31" customFormat="1" ht="12.75" x14ac:dyDescent="0.2">
      <c r="A20" s="5" t="s">
        <v>47</v>
      </c>
      <c r="B20" s="110">
        <v>100</v>
      </c>
      <c r="C20" s="110">
        <v>0</v>
      </c>
      <c r="D20" s="110">
        <v>1200</v>
      </c>
      <c r="E20" s="110">
        <v>500</v>
      </c>
      <c r="F20" s="110">
        <v>10</v>
      </c>
      <c r="G20" s="26">
        <v>30</v>
      </c>
      <c r="H20" s="110">
        <v>0</v>
      </c>
      <c r="I20" s="110">
        <v>1</v>
      </c>
      <c r="J20" s="27">
        <v>0</v>
      </c>
      <c r="K20" s="28">
        <v>0</v>
      </c>
      <c r="L20" s="28">
        <v>0</v>
      </c>
      <c r="M20" s="110">
        <v>0</v>
      </c>
      <c r="N20" s="28">
        <v>1</v>
      </c>
      <c r="O20" s="29">
        <v>0</v>
      </c>
      <c r="P20" s="28">
        <v>0</v>
      </c>
      <c r="Q20" s="28">
        <v>0</v>
      </c>
      <c r="R20" s="110">
        <v>0</v>
      </c>
      <c r="S20" s="112" t="s">
        <v>139</v>
      </c>
      <c r="T20" s="28">
        <v>0</v>
      </c>
      <c r="U20" s="28">
        <v>0</v>
      </c>
      <c r="V20" s="110">
        <v>0</v>
      </c>
      <c r="W20" s="29">
        <v>0</v>
      </c>
    </row>
    <row r="21" spans="1:27" s="31" customFormat="1" ht="12.75" x14ac:dyDescent="0.2">
      <c r="A21" s="5" t="s">
        <v>48</v>
      </c>
      <c r="B21" s="110">
        <v>104</v>
      </c>
      <c r="C21" s="110">
        <v>82</v>
      </c>
      <c r="D21" s="110">
        <v>799</v>
      </c>
      <c r="E21" s="110">
        <v>682</v>
      </c>
      <c r="F21" s="110">
        <v>10</v>
      </c>
      <c r="G21" s="26">
        <v>30</v>
      </c>
      <c r="H21" s="110">
        <v>0</v>
      </c>
      <c r="I21" s="110">
        <v>1</v>
      </c>
      <c r="J21" s="27">
        <v>0</v>
      </c>
      <c r="K21" s="28">
        <v>0</v>
      </c>
      <c r="L21" s="28">
        <v>0</v>
      </c>
      <c r="M21" s="110">
        <v>0</v>
      </c>
      <c r="N21" s="28">
        <v>1</v>
      </c>
      <c r="O21" s="29">
        <v>0</v>
      </c>
      <c r="P21" s="28">
        <v>300</v>
      </c>
      <c r="Q21" s="28">
        <v>0</v>
      </c>
      <c r="R21" s="110">
        <v>0</v>
      </c>
      <c r="S21" s="110">
        <v>50</v>
      </c>
      <c r="T21" s="28">
        <v>0</v>
      </c>
      <c r="U21" s="28">
        <v>0</v>
      </c>
      <c r="V21" s="110">
        <v>0</v>
      </c>
      <c r="W21" s="29">
        <v>0</v>
      </c>
    </row>
    <row r="22" spans="1:27" s="31" customFormat="1" ht="12.75" x14ac:dyDescent="0.2">
      <c r="A22" s="25" t="s">
        <v>49</v>
      </c>
      <c r="B22" s="110">
        <v>213</v>
      </c>
      <c r="C22" s="110">
        <v>53</v>
      </c>
      <c r="D22" s="110">
        <v>1494</v>
      </c>
      <c r="E22" s="32">
        <v>69</v>
      </c>
      <c r="F22" s="110">
        <v>0</v>
      </c>
      <c r="G22" s="26">
        <v>0</v>
      </c>
      <c r="H22" s="110">
        <v>0</v>
      </c>
      <c r="I22" s="110">
        <v>0</v>
      </c>
      <c r="J22" s="27">
        <v>0</v>
      </c>
      <c r="K22" s="28">
        <v>0</v>
      </c>
      <c r="L22" s="28">
        <v>0</v>
      </c>
      <c r="M22" s="110">
        <v>23</v>
      </c>
      <c r="N22" s="110">
        <v>0</v>
      </c>
      <c r="O22" s="110">
        <v>2884</v>
      </c>
      <c r="P22" s="110">
        <v>10600</v>
      </c>
      <c r="Q22" s="110">
        <v>38</v>
      </c>
      <c r="R22" s="110">
        <v>40</v>
      </c>
      <c r="S22" s="110">
        <v>30975</v>
      </c>
      <c r="T22" s="110">
        <v>500</v>
      </c>
      <c r="U22" s="110">
        <v>3180</v>
      </c>
      <c r="V22" s="110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05"/>
      <c r="J23" s="105"/>
      <c r="K23" s="105"/>
      <c r="L23" s="105"/>
      <c r="M23" s="105"/>
      <c r="N23" s="105"/>
      <c r="O23" s="105"/>
      <c r="P23" s="105"/>
      <c r="Q23" s="33"/>
      <c r="R23" s="33"/>
      <c r="S23" s="105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110">
        <v>0</v>
      </c>
      <c r="C25" s="110">
        <v>0</v>
      </c>
      <c r="D25" s="110">
        <v>0</v>
      </c>
      <c r="E25" s="27">
        <v>0</v>
      </c>
      <c r="F25" s="110">
        <v>0</v>
      </c>
      <c r="G25" s="32">
        <v>0</v>
      </c>
      <c r="H25" s="110">
        <v>0</v>
      </c>
      <c r="I25" s="32">
        <v>0</v>
      </c>
      <c r="J25" s="110">
        <v>0</v>
      </c>
      <c r="K25" s="110">
        <v>0</v>
      </c>
      <c r="L25" s="41">
        <v>0</v>
      </c>
      <c r="M25" s="27">
        <v>0</v>
      </c>
      <c r="N25" s="110">
        <v>0</v>
      </c>
      <c r="O25" s="110">
        <v>0</v>
      </c>
      <c r="P25" s="27">
        <v>0</v>
      </c>
      <c r="Q25" s="110">
        <v>0</v>
      </c>
      <c r="R25" s="110">
        <v>0</v>
      </c>
      <c r="S25" s="110">
        <v>0</v>
      </c>
      <c r="T25" s="110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110">
        <v>0</v>
      </c>
      <c r="C26" s="110">
        <v>0</v>
      </c>
      <c r="D26" s="110">
        <v>0</v>
      </c>
      <c r="E26" s="27">
        <v>0</v>
      </c>
      <c r="F26" s="110">
        <v>0</v>
      </c>
      <c r="G26" s="32">
        <v>0</v>
      </c>
      <c r="H26" s="110">
        <v>0</v>
      </c>
      <c r="I26" s="32">
        <v>0</v>
      </c>
      <c r="J26" s="110">
        <v>0</v>
      </c>
      <c r="K26" s="110">
        <v>0</v>
      </c>
      <c r="L26" s="41">
        <v>0</v>
      </c>
      <c r="M26" s="27">
        <v>0</v>
      </c>
      <c r="N26" s="110">
        <v>0</v>
      </c>
      <c r="O26" s="110">
        <v>0</v>
      </c>
      <c r="P26" s="27">
        <v>0</v>
      </c>
      <c r="Q26" s="110">
        <v>0</v>
      </c>
      <c r="R26" s="110">
        <v>0</v>
      </c>
      <c r="S26" s="110">
        <v>0</v>
      </c>
      <c r="T26" s="110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110">
        <v>0</v>
      </c>
      <c r="C27" s="110">
        <v>0</v>
      </c>
      <c r="D27" s="110">
        <v>0</v>
      </c>
      <c r="E27" s="27">
        <v>0</v>
      </c>
      <c r="F27" s="110">
        <v>0</v>
      </c>
      <c r="G27" s="32">
        <v>0</v>
      </c>
      <c r="H27" s="110">
        <v>0</v>
      </c>
      <c r="I27" s="32">
        <v>0</v>
      </c>
      <c r="J27" s="110">
        <v>0</v>
      </c>
      <c r="K27" s="110">
        <v>0</v>
      </c>
      <c r="L27" s="41">
        <v>0</v>
      </c>
      <c r="M27" s="27">
        <v>0</v>
      </c>
      <c r="N27" s="110">
        <v>0</v>
      </c>
      <c r="O27" s="110">
        <v>0</v>
      </c>
      <c r="P27" s="27">
        <v>0</v>
      </c>
      <c r="Q27" s="110">
        <v>0</v>
      </c>
      <c r="R27" s="110">
        <v>0</v>
      </c>
      <c r="S27" s="110">
        <v>0</v>
      </c>
      <c r="T27" s="110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110">
        <v>0</v>
      </c>
      <c r="C28" s="110">
        <v>0</v>
      </c>
      <c r="D28" s="110">
        <v>0</v>
      </c>
      <c r="E28" s="27">
        <v>0</v>
      </c>
      <c r="F28" s="110">
        <v>0</v>
      </c>
      <c r="G28" s="32">
        <v>0</v>
      </c>
      <c r="H28" s="110">
        <v>0</v>
      </c>
      <c r="I28" s="32">
        <v>0</v>
      </c>
      <c r="J28" s="110">
        <v>0</v>
      </c>
      <c r="K28" s="110">
        <v>0</v>
      </c>
      <c r="L28" s="41">
        <v>0</v>
      </c>
      <c r="M28" s="27">
        <v>0</v>
      </c>
      <c r="N28" s="110">
        <v>0</v>
      </c>
      <c r="O28" s="110">
        <v>0</v>
      </c>
      <c r="P28" s="27">
        <v>0</v>
      </c>
      <c r="Q28" s="110">
        <v>0</v>
      </c>
      <c r="R28" s="110">
        <v>0</v>
      </c>
      <c r="S28" s="110">
        <v>0</v>
      </c>
      <c r="T28" s="110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110">
        <v>1719</v>
      </c>
      <c r="C31" s="110">
        <v>2299</v>
      </c>
      <c r="D31" s="51">
        <v>2792</v>
      </c>
      <c r="E31" s="110">
        <v>14925</v>
      </c>
      <c r="F31" s="110">
        <v>521</v>
      </c>
      <c r="G31" s="110">
        <v>404</v>
      </c>
      <c r="H31" s="110">
        <v>5906</v>
      </c>
      <c r="I31" s="110">
        <v>1018</v>
      </c>
      <c r="J31" s="110">
        <v>4859</v>
      </c>
      <c r="K31" s="110">
        <v>0</v>
      </c>
      <c r="L31" s="110">
        <v>315</v>
      </c>
      <c r="M31" s="28">
        <v>823</v>
      </c>
      <c r="N31" s="110">
        <v>4873</v>
      </c>
      <c r="O31" s="110">
        <v>3624</v>
      </c>
      <c r="P31" s="110">
        <v>129</v>
      </c>
      <c r="Q31" s="110">
        <v>7489</v>
      </c>
      <c r="R31" s="110">
        <v>6087</v>
      </c>
      <c r="S31" s="110">
        <v>8993</v>
      </c>
      <c r="T31" s="110">
        <v>3398</v>
      </c>
      <c r="U31" s="110">
        <v>8430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54"/>
    </row>
    <row r="32" spans="1:27" x14ac:dyDescent="0.25">
      <c r="A32" s="5" t="s">
        <v>47</v>
      </c>
      <c r="B32" s="110">
        <v>100</v>
      </c>
      <c r="C32" s="110">
        <v>0</v>
      </c>
      <c r="D32" s="55">
        <v>1200</v>
      </c>
      <c r="E32" s="55">
        <v>500</v>
      </c>
      <c r="F32" s="110">
        <v>0</v>
      </c>
      <c r="G32" s="110">
        <v>30</v>
      </c>
      <c r="H32" s="110">
        <v>0</v>
      </c>
      <c r="I32" s="110">
        <v>0</v>
      </c>
      <c r="J32" s="110">
        <v>0</v>
      </c>
      <c r="K32" s="110">
        <v>0</v>
      </c>
      <c r="L32" s="110">
        <v>0</v>
      </c>
      <c r="M32" s="28">
        <v>1</v>
      </c>
      <c r="N32" s="110">
        <v>0</v>
      </c>
      <c r="O32" s="110">
        <v>210</v>
      </c>
      <c r="P32" s="110">
        <v>0</v>
      </c>
      <c r="Q32" s="110">
        <v>0</v>
      </c>
      <c r="R32" s="110">
        <v>0</v>
      </c>
      <c r="S32" s="110">
        <v>0</v>
      </c>
      <c r="T32" s="110">
        <v>0</v>
      </c>
      <c r="U32" s="110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110">
        <v>0</v>
      </c>
      <c r="C33" s="110">
        <v>0</v>
      </c>
      <c r="D33" s="110">
        <v>0</v>
      </c>
      <c r="E33" s="32">
        <v>0</v>
      </c>
      <c r="F33" s="110">
        <v>0</v>
      </c>
      <c r="G33" s="110">
        <v>0</v>
      </c>
      <c r="H33" s="110">
        <v>0</v>
      </c>
      <c r="I33" s="110">
        <v>0</v>
      </c>
      <c r="J33" s="110">
        <v>0</v>
      </c>
      <c r="K33" s="110">
        <v>0</v>
      </c>
      <c r="L33" s="110">
        <v>0</v>
      </c>
      <c r="M33" s="28">
        <v>0</v>
      </c>
      <c r="N33" s="110">
        <v>0</v>
      </c>
      <c r="O33" s="32">
        <v>0</v>
      </c>
      <c r="P33" s="110">
        <v>0</v>
      </c>
      <c r="Q33" s="110">
        <v>0</v>
      </c>
      <c r="R33" s="110">
        <v>0</v>
      </c>
      <c r="S33" s="110">
        <v>0</v>
      </c>
      <c r="T33" s="110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110">
        <v>1619</v>
      </c>
      <c r="C34" s="28">
        <v>2299</v>
      </c>
      <c r="D34" s="110">
        <v>1592</v>
      </c>
      <c r="E34" s="110">
        <v>13795</v>
      </c>
      <c r="F34" s="110">
        <v>521</v>
      </c>
      <c r="G34" s="110">
        <v>374</v>
      </c>
      <c r="H34" s="110">
        <v>5906</v>
      </c>
      <c r="I34" s="110">
        <v>1018</v>
      </c>
      <c r="J34" s="110">
        <v>4859</v>
      </c>
      <c r="K34" s="110">
        <f>K31-K32-K33</f>
        <v>0</v>
      </c>
      <c r="L34" s="110">
        <v>315</v>
      </c>
      <c r="M34" s="28">
        <v>822</v>
      </c>
      <c r="N34" s="110">
        <v>4873</v>
      </c>
      <c r="O34" s="110">
        <v>2424</v>
      </c>
      <c r="P34" s="110">
        <v>129</v>
      </c>
      <c r="Q34" s="110">
        <f>Q31-Q32-Q33</f>
        <v>7489</v>
      </c>
      <c r="R34" s="110">
        <f>R31-R32-R33</f>
        <v>6087</v>
      </c>
      <c r="S34" s="110">
        <f>S31-S32-S33</f>
        <v>8993</v>
      </c>
      <c r="T34" s="110">
        <f>T31-T32-T33</f>
        <v>3398</v>
      </c>
      <c r="U34" s="110">
        <v>8430</v>
      </c>
      <c r="V34" s="28">
        <v>3056</v>
      </c>
      <c r="W34" s="110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420117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163824634.22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163670774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05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58451.44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107" t="s">
        <v>99</v>
      </c>
      <c r="E43" s="253" t="s">
        <v>100</v>
      </c>
      <c r="F43" s="253"/>
      <c r="G43" s="253"/>
      <c r="H43" s="106" t="s">
        <v>99</v>
      </c>
      <c r="I43" s="107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07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78747</v>
      </c>
      <c r="C44" s="65">
        <v>78802</v>
      </c>
      <c r="D44" s="64">
        <v>3310</v>
      </c>
      <c r="E44" s="66">
        <v>78738</v>
      </c>
      <c r="F44" s="257">
        <v>78746</v>
      </c>
      <c r="G44" s="257"/>
      <c r="H44" s="67">
        <v>320</v>
      </c>
      <c r="I44" s="68">
        <v>190</v>
      </c>
      <c r="J44" s="248" t="s">
        <v>104</v>
      </c>
      <c r="K44" s="248"/>
      <c r="L44" s="248"/>
      <c r="M44" s="248"/>
      <c r="N44" s="248"/>
      <c r="O44" s="69">
        <v>280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05" t="s">
        <v>107</v>
      </c>
      <c r="E50" s="242">
        <v>86354</v>
      </c>
      <c r="F50" s="243"/>
      <c r="G50" s="243"/>
      <c r="H50" s="244"/>
      <c r="I50" s="1"/>
      <c r="J50" s="211" t="s">
        <v>108</v>
      </c>
      <c r="K50" s="211"/>
      <c r="L50" s="212"/>
      <c r="M50" s="218">
        <v>28383584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05" t="s">
        <v>109</v>
      </c>
      <c r="E51" s="242">
        <v>967939</v>
      </c>
      <c r="F51" s="243"/>
      <c r="G51" s="243"/>
      <c r="H51" s="244"/>
      <c r="I51" s="1"/>
      <c r="J51" s="211" t="s">
        <v>110</v>
      </c>
      <c r="K51" s="211"/>
      <c r="L51" s="212"/>
      <c r="M51" s="218">
        <v>889044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1054293</v>
      </c>
      <c r="F52" s="249"/>
      <c r="G52" s="249"/>
      <c r="H52" s="249"/>
      <c r="I52" s="1"/>
      <c r="J52" s="211" t="s">
        <v>112</v>
      </c>
      <c r="K52" s="211"/>
      <c r="L52" s="212"/>
      <c r="M52" s="250">
        <v>968514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203799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1195376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28259255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28259255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opLeftCell="A4" workbookViewId="0">
      <selection activeCell="A37" sqref="A37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134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99" t="s">
        <v>6</v>
      </c>
      <c r="J5" s="100"/>
      <c r="K5" s="100"/>
      <c r="L5" s="100"/>
      <c r="M5" s="293">
        <v>0.123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98">
        <v>20833</v>
      </c>
      <c r="E7" s="11"/>
      <c r="G7" s="12"/>
      <c r="H7" s="13"/>
      <c r="I7" s="278" t="s">
        <v>13</v>
      </c>
      <c r="J7" s="278"/>
      <c r="K7" s="278"/>
      <c r="L7" s="278"/>
      <c r="M7" s="290">
        <v>600</v>
      </c>
      <c r="N7" s="290"/>
      <c r="O7" s="291">
        <v>3.4299999999999997E-2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1.43E-2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9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9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0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98">
        <v>270</v>
      </c>
      <c r="C19" s="98">
        <v>8</v>
      </c>
      <c r="D19" s="98">
        <v>710</v>
      </c>
      <c r="E19" s="98">
        <v>313</v>
      </c>
      <c r="F19" s="98">
        <v>0</v>
      </c>
      <c r="G19" s="26">
        <v>0</v>
      </c>
      <c r="H19" s="98">
        <v>0</v>
      </c>
      <c r="I19" s="98">
        <v>0</v>
      </c>
      <c r="J19" s="27">
        <v>0</v>
      </c>
      <c r="K19" s="28">
        <v>0</v>
      </c>
      <c r="L19" s="28">
        <v>0</v>
      </c>
      <c r="M19" s="98">
        <v>23</v>
      </c>
      <c r="N19" s="28">
        <v>0</v>
      </c>
      <c r="O19" s="29">
        <v>2884</v>
      </c>
      <c r="P19" s="28">
        <v>4400</v>
      </c>
      <c r="Q19" s="28">
        <v>38</v>
      </c>
      <c r="R19" s="28">
        <v>40</v>
      </c>
      <c r="S19" s="98">
        <v>6025</v>
      </c>
      <c r="T19" s="98">
        <v>500</v>
      </c>
      <c r="U19" s="30">
        <v>3180</v>
      </c>
      <c r="V19" s="30">
        <v>14</v>
      </c>
      <c r="W19" s="29">
        <v>349</v>
      </c>
    </row>
    <row r="20" spans="1:27" s="31" customFormat="1" ht="12.75" x14ac:dyDescent="0.2">
      <c r="A20" s="5" t="s">
        <v>47</v>
      </c>
      <c r="B20" s="98">
        <v>150</v>
      </c>
      <c r="C20" s="98">
        <v>200</v>
      </c>
      <c r="D20" s="98">
        <v>1150</v>
      </c>
      <c r="E20" s="98">
        <v>400</v>
      </c>
      <c r="F20" s="98">
        <v>10</v>
      </c>
      <c r="G20" s="26">
        <v>0</v>
      </c>
      <c r="H20" s="98">
        <v>0</v>
      </c>
      <c r="I20" s="98">
        <v>0</v>
      </c>
      <c r="J20" s="27">
        <v>0</v>
      </c>
      <c r="K20" s="28">
        <v>0</v>
      </c>
      <c r="L20" s="28">
        <v>0</v>
      </c>
      <c r="M20" s="98">
        <v>0</v>
      </c>
      <c r="N20" s="28">
        <v>0</v>
      </c>
      <c r="O20" s="29">
        <v>0</v>
      </c>
      <c r="P20" s="28" t="s">
        <v>137</v>
      </c>
      <c r="Q20" s="28">
        <v>0</v>
      </c>
      <c r="R20" s="98">
        <v>0</v>
      </c>
      <c r="S20" s="98">
        <v>0</v>
      </c>
      <c r="T20" s="28">
        <v>0</v>
      </c>
      <c r="U20" s="28">
        <v>0</v>
      </c>
      <c r="V20" s="98">
        <v>0</v>
      </c>
      <c r="W20" s="29">
        <v>0</v>
      </c>
    </row>
    <row r="21" spans="1:27" s="31" customFormat="1" ht="12.75" x14ac:dyDescent="0.2">
      <c r="A21" s="5" t="s">
        <v>48</v>
      </c>
      <c r="B21" s="98">
        <v>202</v>
      </c>
      <c r="C21" s="98">
        <v>73</v>
      </c>
      <c r="D21" s="98">
        <v>767</v>
      </c>
      <c r="E21" s="98">
        <v>472</v>
      </c>
      <c r="F21" s="98">
        <v>10</v>
      </c>
      <c r="G21" s="26">
        <v>0</v>
      </c>
      <c r="H21" s="98">
        <v>0</v>
      </c>
      <c r="I21" s="98">
        <v>0</v>
      </c>
      <c r="J21" s="27">
        <v>0</v>
      </c>
      <c r="K21" s="28">
        <v>0</v>
      </c>
      <c r="L21" s="28">
        <v>0</v>
      </c>
      <c r="M21" s="98">
        <v>0</v>
      </c>
      <c r="N21" s="28">
        <v>0</v>
      </c>
      <c r="O21" s="29">
        <v>0</v>
      </c>
      <c r="P21" s="28">
        <v>500</v>
      </c>
      <c r="Q21" s="28">
        <v>0</v>
      </c>
      <c r="R21" s="98">
        <v>0</v>
      </c>
      <c r="S21" s="98">
        <v>0</v>
      </c>
      <c r="T21" s="28">
        <v>0</v>
      </c>
      <c r="U21" s="28">
        <v>0</v>
      </c>
      <c r="V21" s="98">
        <v>0</v>
      </c>
      <c r="W21" s="29">
        <v>0</v>
      </c>
    </row>
    <row r="22" spans="1:27" s="31" customFormat="1" ht="12.75" x14ac:dyDescent="0.2">
      <c r="A22" s="25" t="s">
        <v>49</v>
      </c>
      <c r="B22" s="104" t="s">
        <v>135</v>
      </c>
      <c r="C22" s="98">
        <v>135</v>
      </c>
      <c r="D22" s="98">
        <v>1093</v>
      </c>
      <c r="E22" s="32" t="s">
        <v>136</v>
      </c>
      <c r="F22" s="98">
        <v>0</v>
      </c>
      <c r="G22" s="26">
        <v>0</v>
      </c>
      <c r="H22" s="98">
        <v>0</v>
      </c>
      <c r="I22" s="98">
        <v>0</v>
      </c>
      <c r="J22" s="27">
        <v>0</v>
      </c>
      <c r="K22" s="28">
        <v>0</v>
      </c>
      <c r="L22" s="28">
        <v>0</v>
      </c>
      <c r="M22" s="98">
        <v>23</v>
      </c>
      <c r="N22" s="98">
        <v>0</v>
      </c>
      <c r="O22" s="98">
        <v>2884</v>
      </c>
      <c r="P22" s="98">
        <v>10900</v>
      </c>
      <c r="Q22" s="98">
        <v>38</v>
      </c>
      <c r="R22" s="98">
        <v>40</v>
      </c>
      <c r="S22" s="98">
        <v>6025</v>
      </c>
      <c r="T22" s="98">
        <v>500</v>
      </c>
      <c r="U22" s="98">
        <v>3180</v>
      </c>
      <c r="V22" s="98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01"/>
      <c r="J23" s="101"/>
      <c r="K23" s="101"/>
      <c r="L23" s="101"/>
      <c r="M23" s="101"/>
      <c r="N23" s="101"/>
      <c r="O23" s="101"/>
      <c r="P23" s="101"/>
      <c r="Q23" s="33"/>
      <c r="R23" s="33"/>
      <c r="S23" s="101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98">
        <v>0</v>
      </c>
      <c r="C25" s="98">
        <v>0</v>
      </c>
      <c r="D25" s="98">
        <v>0</v>
      </c>
      <c r="E25" s="27">
        <v>0</v>
      </c>
      <c r="F25" s="98">
        <v>0</v>
      </c>
      <c r="G25" s="32">
        <v>0</v>
      </c>
      <c r="H25" s="98">
        <v>0</v>
      </c>
      <c r="I25" s="32">
        <v>0</v>
      </c>
      <c r="J25" s="98">
        <v>0</v>
      </c>
      <c r="K25" s="98">
        <v>0</v>
      </c>
      <c r="L25" s="41">
        <v>0</v>
      </c>
      <c r="M25" s="27">
        <v>0</v>
      </c>
      <c r="N25" s="98">
        <v>0</v>
      </c>
      <c r="O25" s="98">
        <v>0</v>
      </c>
      <c r="P25" s="27">
        <v>0</v>
      </c>
      <c r="Q25" s="98">
        <v>0</v>
      </c>
      <c r="R25" s="98">
        <v>0</v>
      </c>
      <c r="S25" s="98">
        <v>0</v>
      </c>
      <c r="T25" s="98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98">
        <v>0</v>
      </c>
      <c r="C26" s="98">
        <v>0</v>
      </c>
      <c r="D26" s="98">
        <v>0</v>
      </c>
      <c r="E26" s="27">
        <v>0</v>
      </c>
      <c r="F26" s="98">
        <v>0</v>
      </c>
      <c r="G26" s="32">
        <v>0</v>
      </c>
      <c r="H26" s="98">
        <v>0</v>
      </c>
      <c r="I26" s="32">
        <v>0</v>
      </c>
      <c r="J26" s="104">
        <v>0</v>
      </c>
      <c r="K26" s="104">
        <v>0</v>
      </c>
      <c r="L26" s="41">
        <v>0</v>
      </c>
      <c r="M26" s="27">
        <v>0</v>
      </c>
      <c r="N26" s="104">
        <v>0</v>
      </c>
      <c r="O26" s="104">
        <v>0</v>
      </c>
      <c r="P26" s="27">
        <v>0</v>
      </c>
      <c r="Q26" s="104">
        <v>0</v>
      </c>
      <c r="R26" s="104">
        <v>0</v>
      </c>
      <c r="S26" s="104">
        <v>0</v>
      </c>
      <c r="T26" s="104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98">
        <v>0</v>
      </c>
      <c r="C27" s="98">
        <v>0</v>
      </c>
      <c r="D27" s="98">
        <v>0</v>
      </c>
      <c r="E27" s="27">
        <v>0</v>
      </c>
      <c r="F27" s="98">
        <v>0</v>
      </c>
      <c r="G27" s="32">
        <v>0</v>
      </c>
      <c r="H27" s="98">
        <v>0</v>
      </c>
      <c r="I27" s="32">
        <v>0</v>
      </c>
      <c r="J27" s="104">
        <v>0</v>
      </c>
      <c r="K27" s="104">
        <v>0</v>
      </c>
      <c r="L27" s="41">
        <v>0</v>
      </c>
      <c r="M27" s="27">
        <v>0</v>
      </c>
      <c r="N27" s="104">
        <v>0</v>
      </c>
      <c r="O27" s="104">
        <v>0</v>
      </c>
      <c r="P27" s="27">
        <v>0</v>
      </c>
      <c r="Q27" s="104">
        <v>0</v>
      </c>
      <c r="R27" s="104">
        <v>0</v>
      </c>
      <c r="S27" s="104">
        <v>0</v>
      </c>
      <c r="T27" s="104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98">
        <v>0</v>
      </c>
      <c r="C28" s="98">
        <v>0</v>
      </c>
      <c r="D28" s="98">
        <v>0</v>
      </c>
      <c r="E28" s="27">
        <v>0</v>
      </c>
      <c r="F28" s="98">
        <v>0</v>
      </c>
      <c r="G28" s="32">
        <v>0</v>
      </c>
      <c r="H28" s="98">
        <v>0</v>
      </c>
      <c r="I28" s="32">
        <v>0</v>
      </c>
      <c r="J28" s="98">
        <v>0</v>
      </c>
      <c r="K28" s="98">
        <v>0</v>
      </c>
      <c r="L28" s="41">
        <v>0</v>
      </c>
      <c r="M28" s="27">
        <v>0</v>
      </c>
      <c r="N28" s="98">
        <v>0</v>
      </c>
      <c r="O28" s="98">
        <v>0</v>
      </c>
      <c r="P28" s="27">
        <v>0</v>
      </c>
      <c r="Q28" s="98">
        <v>0</v>
      </c>
      <c r="R28" s="98">
        <v>0</v>
      </c>
      <c r="S28" s="98">
        <v>0</v>
      </c>
      <c r="T28" s="98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98">
        <v>1869</v>
      </c>
      <c r="C31" s="98">
        <v>2499</v>
      </c>
      <c r="D31" s="51">
        <v>3942</v>
      </c>
      <c r="E31" s="98">
        <v>14695</v>
      </c>
      <c r="F31" s="98">
        <v>531</v>
      </c>
      <c r="G31" s="98">
        <v>404</v>
      </c>
      <c r="H31" s="98">
        <v>5906</v>
      </c>
      <c r="I31" s="98">
        <v>1018</v>
      </c>
      <c r="J31" s="98">
        <v>4859</v>
      </c>
      <c r="K31" s="98">
        <v>0</v>
      </c>
      <c r="L31" s="98">
        <v>315</v>
      </c>
      <c r="M31" s="28">
        <v>823</v>
      </c>
      <c r="N31" s="98">
        <v>4873</v>
      </c>
      <c r="O31" s="98">
        <v>3816</v>
      </c>
      <c r="P31" s="98">
        <v>129</v>
      </c>
      <c r="Q31" s="98">
        <v>7489</v>
      </c>
      <c r="R31" s="98">
        <v>6087</v>
      </c>
      <c r="S31" s="98">
        <v>8993</v>
      </c>
      <c r="T31" s="98">
        <v>3398</v>
      </c>
      <c r="U31" s="98">
        <v>8430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54"/>
    </row>
    <row r="32" spans="1:27" x14ac:dyDescent="0.25">
      <c r="A32" s="5" t="s">
        <v>47</v>
      </c>
      <c r="B32" s="98">
        <v>150</v>
      </c>
      <c r="C32" s="98">
        <v>200</v>
      </c>
      <c r="D32" s="55">
        <v>1150</v>
      </c>
      <c r="E32" s="55">
        <v>400</v>
      </c>
      <c r="F32" s="98">
        <v>10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28">
        <v>0</v>
      </c>
      <c r="N32" s="98">
        <v>0</v>
      </c>
      <c r="O32" s="98">
        <v>182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98">
        <v>0</v>
      </c>
      <c r="C33" s="98">
        <v>0</v>
      </c>
      <c r="D33" s="98">
        <v>0</v>
      </c>
      <c r="E33" s="32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28">
        <v>0</v>
      </c>
      <c r="N33" s="98">
        <v>0</v>
      </c>
      <c r="O33" s="32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98">
        <v>1719</v>
      </c>
      <c r="C34" s="28">
        <v>2299</v>
      </c>
      <c r="D34" s="98">
        <v>2792</v>
      </c>
      <c r="E34" s="98">
        <v>14295</v>
      </c>
      <c r="F34" s="98">
        <v>521</v>
      </c>
      <c r="G34" s="98">
        <v>404</v>
      </c>
      <c r="H34" s="98">
        <v>5906</v>
      </c>
      <c r="I34" s="98">
        <v>1018</v>
      </c>
      <c r="J34" s="98">
        <v>4859</v>
      </c>
      <c r="K34" s="98">
        <f>K31-K32-K33</f>
        <v>0</v>
      </c>
      <c r="L34" s="98">
        <v>315</v>
      </c>
      <c r="M34" s="28">
        <v>823</v>
      </c>
      <c r="N34" s="98">
        <v>4873</v>
      </c>
      <c r="O34" s="98">
        <v>3634</v>
      </c>
      <c r="P34" s="98">
        <v>129</v>
      </c>
      <c r="Q34" s="98">
        <f>Q31-Q32-Q33</f>
        <v>7489</v>
      </c>
      <c r="R34" s="98">
        <f>R31-R32-R33</f>
        <v>6087</v>
      </c>
      <c r="S34" s="98">
        <f>S31-S32-S33</f>
        <v>8993</v>
      </c>
      <c r="T34" s="98">
        <f>T31-T32-T33</f>
        <v>3398</v>
      </c>
      <c r="U34" s="98">
        <v>8430</v>
      </c>
      <c r="V34" s="28">
        <v>3056</v>
      </c>
      <c r="W34" s="98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254415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3331596.94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3177736.62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01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58451.54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103" t="s">
        <v>99</v>
      </c>
      <c r="E43" s="253" t="s">
        <v>100</v>
      </c>
      <c r="F43" s="253"/>
      <c r="G43" s="253"/>
      <c r="H43" s="102" t="s">
        <v>99</v>
      </c>
      <c r="I43" s="10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03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78684</v>
      </c>
      <c r="C44" s="65">
        <v>78737</v>
      </c>
      <c r="D44" s="64">
        <v>2960</v>
      </c>
      <c r="E44" s="66">
        <v>78676</v>
      </c>
      <c r="F44" s="257">
        <v>78683</v>
      </c>
      <c r="G44" s="257"/>
      <c r="H44" s="67">
        <v>440</v>
      </c>
      <c r="I44" s="68">
        <v>240</v>
      </c>
      <c r="J44" s="248" t="s">
        <v>104</v>
      </c>
      <c r="K44" s="248"/>
      <c r="L44" s="248"/>
      <c r="M44" s="248"/>
      <c r="N44" s="248"/>
      <c r="O44" s="69">
        <v>180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01" t="s">
        <v>107</v>
      </c>
      <c r="E50" s="242">
        <v>77416</v>
      </c>
      <c r="F50" s="243"/>
      <c r="G50" s="243"/>
      <c r="H50" s="244"/>
      <c r="I50" s="1"/>
      <c r="J50" s="211" t="s">
        <v>108</v>
      </c>
      <c r="K50" s="211"/>
      <c r="L50" s="212"/>
      <c r="M50" s="218">
        <v>28677229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01" t="s">
        <v>109</v>
      </c>
      <c r="E51" s="242">
        <v>1253585</v>
      </c>
      <c r="F51" s="243"/>
      <c r="G51" s="243"/>
      <c r="H51" s="244"/>
      <c r="I51" s="1"/>
      <c r="J51" s="211" t="s">
        <v>110</v>
      </c>
      <c r="K51" s="211"/>
      <c r="L51" s="212"/>
      <c r="M51" s="218">
        <v>1160350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1331001</v>
      </c>
      <c r="F52" s="249"/>
      <c r="G52" s="249"/>
      <c r="H52" s="249"/>
      <c r="I52" s="1"/>
      <c r="J52" s="211" t="s">
        <v>112</v>
      </c>
      <c r="K52" s="211"/>
      <c r="L52" s="212"/>
      <c r="M52" s="250">
        <v>1253585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386880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1043295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28383584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28383584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A29" sqref="A29:H29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133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131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99" t="s">
        <v>6</v>
      </c>
      <c r="J5" s="100"/>
      <c r="K5" s="100"/>
      <c r="L5" s="100"/>
      <c r="M5" s="293">
        <v>0.114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98">
        <v>20349</v>
      </c>
      <c r="E7" s="11"/>
      <c r="G7" s="12"/>
      <c r="H7" s="13"/>
      <c r="I7" s="278" t="s">
        <v>13</v>
      </c>
      <c r="J7" s="278"/>
      <c r="K7" s="278"/>
      <c r="L7" s="278"/>
      <c r="M7" s="290">
        <v>600</v>
      </c>
      <c r="N7" s="290"/>
      <c r="O7" s="291">
        <v>3.4299999999999997E-2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9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9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0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98">
        <v>246</v>
      </c>
      <c r="C19" s="98">
        <v>25</v>
      </c>
      <c r="D19" s="98">
        <v>1146</v>
      </c>
      <c r="E19" s="98">
        <v>223</v>
      </c>
      <c r="F19" s="98">
        <v>0</v>
      </c>
      <c r="G19" s="26">
        <v>0</v>
      </c>
      <c r="H19" s="98">
        <v>0</v>
      </c>
      <c r="I19" s="98">
        <v>0</v>
      </c>
      <c r="J19" s="27">
        <v>0</v>
      </c>
      <c r="K19" s="28">
        <v>0</v>
      </c>
      <c r="L19" s="28">
        <v>0</v>
      </c>
      <c r="M19" s="98">
        <v>25</v>
      </c>
      <c r="N19" s="28">
        <v>0</v>
      </c>
      <c r="O19" s="29">
        <v>2884</v>
      </c>
      <c r="P19" s="28">
        <v>7080</v>
      </c>
      <c r="Q19" s="28">
        <v>38</v>
      </c>
      <c r="R19" s="28">
        <v>40</v>
      </c>
      <c r="S19" s="98">
        <v>10405</v>
      </c>
      <c r="T19" s="98">
        <v>500</v>
      </c>
      <c r="U19" s="30">
        <v>4680</v>
      </c>
      <c r="V19" s="30">
        <v>14</v>
      </c>
      <c r="W19" s="29">
        <v>349</v>
      </c>
    </row>
    <row r="20" spans="1:27" s="31" customFormat="1" ht="12.75" x14ac:dyDescent="0.2">
      <c r="A20" s="5" t="s">
        <v>47</v>
      </c>
      <c r="B20" s="98">
        <v>200</v>
      </c>
      <c r="C20" s="98">
        <v>105</v>
      </c>
      <c r="D20" s="98">
        <v>800</v>
      </c>
      <c r="E20" s="98">
        <v>600</v>
      </c>
      <c r="F20" s="98">
        <v>0</v>
      </c>
      <c r="G20" s="26">
        <v>2</v>
      </c>
      <c r="H20" s="98">
        <v>2</v>
      </c>
      <c r="I20" s="98">
        <v>0</v>
      </c>
      <c r="J20" s="27">
        <v>0</v>
      </c>
      <c r="K20" s="28">
        <v>0</v>
      </c>
      <c r="L20" s="28">
        <v>0</v>
      </c>
      <c r="M20" s="98">
        <v>0</v>
      </c>
      <c r="N20" s="28">
        <v>0</v>
      </c>
      <c r="O20" s="29">
        <v>0</v>
      </c>
      <c r="P20" s="28">
        <v>0</v>
      </c>
      <c r="Q20" s="28">
        <v>0</v>
      </c>
      <c r="R20" s="98">
        <v>0</v>
      </c>
      <c r="S20" s="98">
        <v>0</v>
      </c>
      <c r="T20" s="28">
        <v>0</v>
      </c>
      <c r="U20" s="28">
        <v>0</v>
      </c>
      <c r="V20" s="98">
        <v>0</v>
      </c>
      <c r="W20" s="29">
        <v>0</v>
      </c>
    </row>
    <row r="21" spans="1:27" s="31" customFormat="1" ht="12.75" x14ac:dyDescent="0.2">
      <c r="A21" s="5" t="s">
        <v>48</v>
      </c>
      <c r="B21" s="98">
        <v>176</v>
      </c>
      <c r="C21" s="98">
        <v>122</v>
      </c>
      <c r="D21" s="98">
        <v>1236</v>
      </c>
      <c r="E21" s="98">
        <v>510</v>
      </c>
      <c r="F21" s="98">
        <v>0</v>
      </c>
      <c r="G21" s="26">
        <v>2</v>
      </c>
      <c r="H21" s="98">
        <v>2</v>
      </c>
      <c r="I21" s="98">
        <v>0</v>
      </c>
      <c r="J21" s="27">
        <v>0</v>
      </c>
      <c r="K21" s="28">
        <v>0</v>
      </c>
      <c r="L21" s="28">
        <v>0</v>
      </c>
      <c r="M21" s="98">
        <v>2</v>
      </c>
      <c r="N21" s="28">
        <v>0</v>
      </c>
      <c r="O21" s="29">
        <v>0</v>
      </c>
      <c r="P21" s="28">
        <v>2680</v>
      </c>
      <c r="Q21" s="28">
        <v>0</v>
      </c>
      <c r="R21" s="98">
        <v>0</v>
      </c>
      <c r="S21" s="98">
        <v>4380</v>
      </c>
      <c r="T21" s="28">
        <v>0</v>
      </c>
      <c r="U21" s="28">
        <v>1500</v>
      </c>
      <c r="V21" s="98">
        <v>0</v>
      </c>
      <c r="W21" s="29">
        <v>0</v>
      </c>
    </row>
    <row r="22" spans="1:27" s="31" customFormat="1" ht="12.75" x14ac:dyDescent="0.2">
      <c r="A22" s="25" t="s">
        <v>49</v>
      </c>
      <c r="B22" s="98">
        <v>270</v>
      </c>
      <c r="C22" s="98">
        <v>8</v>
      </c>
      <c r="D22" s="98">
        <v>710</v>
      </c>
      <c r="E22" s="32">
        <v>313</v>
      </c>
      <c r="F22" s="98">
        <v>0</v>
      </c>
      <c r="G22" s="26">
        <v>0</v>
      </c>
      <c r="H22" s="98">
        <v>0</v>
      </c>
      <c r="I22" s="98">
        <v>0</v>
      </c>
      <c r="J22" s="27">
        <v>0</v>
      </c>
      <c r="K22" s="28">
        <v>0</v>
      </c>
      <c r="L22" s="28">
        <v>0</v>
      </c>
      <c r="M22" s="98">
        <v>23</v>
      </c>
      <c r="N22" s="98">
        <v>0</v>
      </c>
      <c r="O22" s="98">
        <v>2884</v>
      </c>
      <c r="P22" s="98">
        <v>4400</v>
      </c>
      <c r="Q22" s="98">
        <v>38</v>
      </c>
      <c r="R22" s="98">
        <v>40</v>
      </c>
      <c r="S22" s="98">
        <v>6025</v>
      </c>
      <c r="T22" s="98">
        <v>500</v>
      </c>
      <c r="U22" s="98">
        <v>3180</v>
      </c>
      <c r="V22" s="98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01"/>
      <c r="J23" s="101"/>
      <c r="K23" s="101"/>
      <c r="L23" s="101"/>
      <c r="M23" s="101"/>
      <c r="N23" s="101"/>
      <c r="O23" s="101"/>
      <c r="P23" s="101"/>
      <c r="Q23" s="33"/>
      <c r="R23" s="33"/>
      <c r="S23" s="101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132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98">
        <v>0</v>
      </c>
      <c r="C25" s="98">
        <v>0</v>
      </c>
      <c r="D25" s="98">
        <v>0</v>
      </c>
      <c r="E25" s="27">
        <v>0</v>
      </c>
      <c r="F25" s="98">
        <v>0</v>
      </c>
      <c r="G25" s="32">
        <v>0</v>
      </c>
      <c r="H25" s="98">
        <v>0</v>
      </c>
      <c r="I25" s="32">
        <v>0</v>
      </c>
      <c r="J25" s="98">
        <v>0</v>
      </c>
      <c r="K25" s="98">
        <v>0</v>
      </c>
      <c r="L25" s="41">
        <v>0</v>
      </c>
      <c r="M25" s="27">
        <v>0</v>
      </c>
      <c r="N25" s="98">
        <v>0</v>
      </c>
      <c r="O25" s="98">
        <v>0</v>
      </c>
      <c r="P25" s="27">
        <v>0</v>
      </c>
      <c r="Q25" s="98">
        <v>0</v>
      </c>
      <c r="R25" s="98">
        <v>0</v>
      </c>
      <c r="S25" s="98">
        <v>0</v>
      </c>
      <c r="T25" s="98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98">
        <v>0</v>
      </c>
      <c r="C26" s="98">
        <v>0</v>
      </c>
      <c r="D26" s="98">
        <v>0</v>
      </c>
      <c r="E26" s="27">
        <v>0</v>
      </c>
      <c r="F26" s="98">
        <v>0</v>
      </c>
      <c r="G26" s="32">
        <v>0</v>
      </c>
      <c r="H26" s="98">
        <v>0</v>
      </c>
      <c r="I26" s="32">
        <v>0</v>
      </c>
      <c r="J26" s="98">
        <v>33</v>
      </c>
      <c r="K26" s="98">
        <v>0</v>
      </c>
      <c r="L26" s="41">
        <v>21</v>
      </c>
      <c r="M26" s="27">
        <v>12</v>
      </c>
      <c r="N26" s="98">
        <v>50</v>
      </c>
      <c r="O26" s="98">
        <v>0</v>
      </c>
      <c r="P26" s="27">
        <v>802</v>
      </c>
      <c r="Q26" s="98">
        <v>0</v>
      </c>
      <c r="R26" s="98">
        <v>202</v>
      </c>
      <c r="S26" s="98">
        <v>0</v>
      </c>
      <c r="T26" s="98">
        <v>402</v>
      </c>
      <c r="U26" s="41">
        <v>302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98">
        <v>0</v>
      </c>
      <c r="C27" s="98">
        <v>0</v>
      </c>
      <c r="D27" s="98">
        <v>0</v>
      </c>
      <c r="E27" s="27">
        <v>0</v>
      </c>
      <c r="F27" s="98">
        <v>0</v>
      </c>
      <c r="G27" s="32">
        <v>0</v>
      </c>
      <c r="H27" s="98">
        <v>0</v>
      </c>
      <c r="I27" s="32">
        <v>0</v>
      </c>
      <c r="J27" s="98">
        <v>33</v>
      </c>
      <c r="K27" s="98">
        <v>0</v>
      </c>
      <c r="L27" s="41">
        <v>21</v>
      </c>
      <c r="M27" s="27">
        <v>12</v>
      </c>
      <c r="N27" s="98">
        <v>50</v>
      </c>
      <c r="O27" s="98">
        <v>0</v>
      </c>
      <c r="P27" s="27">
        <v>802</v>
      </c>
      <c r="Q27" s="98">
        <v>0</v>
      </c>
      <c r="R27" s="98">
        <v>202</v>
      </c>
      <c r="S27" s="98">
        <v>0</v>
      </c>
      <c r="T27" s="98">
        <v>402</v>
      </c>
      <c r="U27" s="41">
        <v>302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98">
        <v>0</v>
      </c>
      <c r="C28" s="98">
        <v>0</v>
      </c>
      <c r="D28" s="98">
        <v>0</v>
      </c>
      <c r="E28" s="27">
        <v>0</v>
      </c>
      <c r="F28" s="98">
        <v>0</v>
      </c>
      <c r="G28" s="32">
        <v>0</v>
      </c>
      <c r="H28" s="98">
        <v>0</v>
      </c>
      <c r="I28" s="32">
        <v>0</v>
      </c>
      <c r="J28" s="98">
        <v>0</v>
      </c>
      <c r="K28" s="98">
        <v>0</v>
      </c>
      <c r="L28" s="41">
        <v>0</v>
      </c>
      <c r="M28" s="27">
        <v>0</v>
      </c>
      <c r="N28" s="98">
        <v>0</v>
      </c>
      <c r="O28" s="98">
        <v>0</v>
      </c>
      <c r="P28" s="27">
        <v>0</v>
      </c>
      <c r="Q28" s="98">
        <v>0</v>
      </c>
      <c r="R28" s="98">
        <v>0</v>
      </c>
      <c r="S28" s="98">
        <v>0</v>
      </c>
      <c r="T28" s="98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98">
        <v>2069</v>
      </c>
      <c r="C31" s="98">
        <v>2604</v>
      </c>
      <c r="D31" s="51">
        <v>4742</v>
      </c>
      <c r="E31" s="98">
        <v>15295</v>
      </c>
      <c r="F31" s="98">
        <v>531</v>
      </c>
      <c r="G31" s="98">
        <v>406</v>
      </c>
      <c r="H31" s="98">
        <v>5908</v>
      </c>
      <c r="I31" s="98">
        <v>1134</v>
      </c>
      <c r="J31" s="98">
        <v>4859</v>
      </c>
      <c r="K31" s="98">
        <v>0</v>
      </c>
      <c r="L31" s="98">
        <v>315</v>
      </c>
      <c r="M31" s="28">
        <v>823</v>
      </c>
      <c r="N31" s="98">
        <v>5275</v>
      </c>
      <c r="O31" s="98">
        <v>4063</v>
      </c>
      <c r="P31" s="98">
        <v>139</v>
      </c>
      <c r="Q31" s="98">
        <v>7489</v>
      </c>
      <c r="R31" s="98">
        <v>6087</v>
      </c>
      <c r="S31" s="98">
        <v>8993</v>
      </c>
      <c r="T31" s="98">
        <v>3600</v>
      </c>
      <c r="U31" s="98">
        <v>9232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54"/>
    </row>
    <row r="32" spans="1:27" x14ac:dyDescent="0.25">
      <c r="A32" s="5" t="s">
        <v>47</v>
      </c>
      <c r="B32" s="98">
        <v>200</v>
      </c>
      <c r="C32" s="98">
        <v>105</v>
      </c>
      <c r="D32" s="55">
        <v>800</v>
      </c>
      <c r="E32" s="55">
        <v>600</v>
      </c>
      <c r="F32" s="98">
        <v>0</v>
      </c>
      <c r="G32" s="98">
        <v>2</v>
      </c>
      <c r="H32" s="98">
        <v>2</v>
      </c>
      <c r="I32" s="98">
        <v>116</v>
      </c>
      <c r="J32" s="98">
        <v>0</v>
      </c>
      <c r="K32" s="98">
        <v>0</v>
      </c>
      <c r="L32" s="98">
        <v>0</v>
      </c>
      <c r="M32" s="28">
        <v>0</v>
      </c>
      <c r="N32" s="98">
        <v>402</v>
      </c>
      <c r="O32" s="98">
        <v>247</v>
      </c>
      <c r="P32" s="98">
        <v>10</v>
      </c>
      <c r="Q32" s="98">
        <v>0</v>
      </c>
      <c r="R32" s="98">
        <v>0</v>
      </c>
      <c r="S32" s="98">
        <v>0</v>
      </c>
      <c r="T32" s="98">
        <v>202</v>
      </c>
      <c r="U32" s="98">
        <v>802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98">
        <v>0</v>
      </c>
      <c r="C33" s="98">
        <v>0</v>
      </c>
      <c r="D33" s="98">
        <v>0</v>
      </c>
      <c r="E33" s="32">
        <v>0</v>
      </c>
      <c r="F33" s="98">
        <v>0</v>
      </c>
      <c r="G33" s="98">
        <v>0</v>
      </c>
      <c r="H33" s="98">
        <v>0</v>
      </c>
      <c r="I33" s="98">
        <v>0</v>
      </c>
      <c r="J33" s="98">
        <v>0</v>
      </c>
      <c r="K33" s="98">
        <v>0</v>
      </c>
      <c r="L33" s="98">
        <v>0</v>
      </c>
      <c r="M33" s="28">
        <v>0</v>
      </c>
      <c r="N33" s="98">
        <v>0</v>
      </c>
      <c r="O33" s="32">
        <v>0</v>
      </c>
      <c r="P33" s="98">
        <v>0</v>
      </c>
      <c r="Q33" s="98">
        <v>0</v>
      </c>
      <c r="R33" s="98">
        <v>0</v>
      </c>
      <c r="S33" s="98">
        <v>0</v>
      </c>
      <c r="T33" s="98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98">
        <v>1869</v>
      </c>
      <c r="C34" s="28">
        <v>2499</v>
      </c>
      <c r="D34" s="98">
        <v>3942</v>
      </c>
      <c r="E34" s="98">
        <v>14695</v>
      </c>
      <c r="F34" s="98">
        <v>531</v>
      </c>
      <c r="G34" s="98">
        <v>404</v>
      </c>
      <c r="H34" s="98">
        <v>5906</v>
      </c>
      <c r="I34" s="98">
        <v>1018</v>
      </c>
      <c r="J34" s="98">
        <v>4859</v>
      </c>
      <c r="K34" s="98">
        <f>K31-K32-K33</f>
        <v>0</v>
      </c>
      <c r="L34" s="98">
        <v>315</v>
      </c>
      <c r="M34" s="28">
        <v>823</v>
      </c>
      <c r="N34" s="98">
        <v>4873</v>
      </c>
      <c r="O34" s="98">
        <v>3816</v>
      </c>
      <c r="P34" s="98">
        <v>129</v>
      </c>
      <c r="Q34" s="98">
        <f>Q31-Q32-Q33</f>
        <v>7489</v>
      </c>
      <c r="R34" s="98">
        <f>R31-R32-R33</f>
        <v>6087</v>
      </c>
      <c r="S34" s="98">
        <f>S31-S32-S33</f>
        <v>8993</v>
      </c>
      <c r="T34" s="98">
        <f>T31-T32-T33</f>
        <v>3398</v>
      </c>
      <c r="U34" s="98">
        <v>8430</v>
      </c>
      <c r="V34" s="28">
        <v>3056</v>
      </c>
      <c r="W34" s="98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123109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3168569.78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2757216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01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315945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103" t="s">
        <v>99</v>
      </c>
      <c r="E43" s="253" t="s">
        <v>100</v>
      </c>
      <c r="F43" s="253"/>
      <c r="G43" s="253"/>
      <c r="H43" s="102" t="s">
        <v>99</v>
      </c>
      <c r="I43" s="10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103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78629</v>
      </c>
      <c r="C44" s="65">
        <v>78675</v>
      </c>
      <c r="D44" s="64">
        <v>2540</v>
      </c>
      <c r="E44" s="66">
        <v>78616</v>
      </c>
      <c r="F44" s="257">
        <v>78628</v>
      </c>
      <c r="G44" s="257"/>
      <c r="H44" s="67">
        <v>510</v>
      </c>
      <c r="I44" s="68">
        <v>50</v>
      </c>
      <c r="J44" s="248" t="s">
        <v>104</v>
      </c>
      <c r="K44" s="248"/>
      <c r="L44" s="248"/>
      <c r="M44" s="248"/>
      <c r="N44" s="248"/>
      <c r="O44" s="69">
        <v>80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01" t="s">
        <v>107</v>
      </c>
      <c r="E50" s="242">
        <v>88444</v>
      </c>
      <c r="F50" s="243"/>
      <c r="G50" s="243"/>
      <c r="H50" s="244"/>
      <c r="I50" s="1"/>
      <c r="J50" s="211" t="s">
        <v>108</v>
      </c>
      <c r="K50" s="211"/>
      <c r="L50" s="212"/>
      <c r="M50" s="218">
        <v>29024564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01" t="s">
        <v>109</v>
      </c>
      <c r="E51" s="242">
        <v>2440219</v>
      </c>
      <c r="F51" s="243"/>
      <c r="G51" s="243"/>
      <c r="H51" s="244"/>
      <c r="I51" s="1"/>
      <c r="J51" s="211" t="s">
        <v>110</v>
      </c>
      <c r="K51" s="211"/>
      <c r="L51" s="212"/>
      <c r="M51" s="218">
        <v>2575919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2528663</v>
      </c>
      <c r="F52" s="249"/>
      <c r="G52" s="249"/>
      <c r="H52" s="249"/>
      <c r="I52" s="1"/>
      <c r="J52" s="211" t="s">
        <v>112</v>
      </c>
      <c r="K52" s="211"/>
      <c r="L52" s="212"/>
      <c r="M52" s="250">
        <v>2440219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211635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3609275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28677229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28677229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1:K1"/>
    <mergeCell ref="A2:P2"/>
    <mergeCell ref="A3:A4"/>
    <mergeCell ref="B3:D4"/>
    <mergeCell ref="M3:N4"/>
    <mergeCell ref="O3:P4"/>
    <mergeCell ref="A5:D5"/>
    <mergeCell ref="M5:N5"/>
    <mergeCell ref="O5:P5"/>
    <mergeCell ref="A6:C6"/>
    <mergeCell ref="I6:L6"/>
    <mergeCell ref="M6:N6"/>
    <mergeCell ref="O6:P6"/>
    <mergeCell ref="A7:C7"/>
    <mergeCell ref="I7:L7"/>
    <mergeCell ref="M7:N7"/>
    <mergeCell ref="O7:P7"/>
    <mergeCell ref="A8:C8"/>
    <mergeCell ref="I8:L8"/>
    <mergeCell ref="M8:N8"/>
    <mergeCell ref="O8:P8"/>
    <mergeCell ref="A9:C9"/>
    <mergeCell ref="I9:L9"/>
    <mergeCell ref="M9:N9"/>
    <mergeCell ref="O9:P9"/>
    <mergeCell ref="A10:C10"/>
    <mergeCell ref="I10:L10"/>
    <mergeCell ref="M10:N10"/>
    <mergeCell ref="O10:P10"/>
    <mergeCell ref="A11:C11"/>
    <mergeCell ref="I11:L11"/>
    <mergeCell ref="M11:N11"/>
    <mergeCell ref="O11:P11"/>
    <mergeCell ref="A12:C12"/>
    <mergeCell ref="I12:L12"/>
    <mergeCell ref="M12:N12"/>
    <mergeCell ref="O12:P12"/>
    <mergeCell ref="A13:C13"/>
    <mergeCell ref="I13:L13"/>
    <mergeCell ref="M13:N13"/>
    <mergeCell ref="O13:P13"/>
    <mergeCell ref="A14:C14"/>
    <mergeCell ref="I14:L14"/>
    <mergeCell ref="M14:N14"/>
    <mergeCell ref="O14:P1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A29" sqref="A29:H29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129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93" t="s">
        <v>6</v>
      </c>
      <c r="J5" s="94"/>
      <c r="K5" s="94"/>
      <c r="L5" s="94"/>
      <c r="M5" s="293">
        <v>0.127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92">
        <v>19845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95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95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89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92">
        <v>232</v>
      </c>
      <c r="C19" s="92">
        <v>52</v>
      </c>
      <c r="D19" s="92">
        <v>482</v>
      </c>
      <c r="E19" s="92">
        <v>510</v>
      </c>
      <c r="F19" s="92">
        <v>0</v>
      </c>
      <c r="G19" s="26">
        <v>0</v>
      </c>
      <c r="H19" s="92">
        <v>0</v>
      </c>
      <c r="I19" s="92">
        <v>0</v>
      </c>
      <c r="J19" s="27">
        <v>0</v>
      </c>
      <c r="K19" s="28">
        <v>0</v>
      </c>
      <c r="L19" s="28">
        <v>0</v>
      </c>
      <c r="M19" s="92">
        <v>25</v>
      </c>
      <c r="N19" s="28">
        <v>0</v>
      </c>
      <c r="O19" s="29">
        <v>2884</v>
      </c>
      <c r="P19" s="28">
        <v>7080</v>
      </c>
      <c r="Q19" s="28">
        <v>38</v>
      </c>
      <c r="R19" s="28">
        <v>40</v>
      </c>
      <c r="S19" s="92">
        <v>10705</v>
      </c>
      <c r="T19" s="92">
        <v>500</v>
      </c>
      <c r="U19" s="30">
        <v>680</v>
      </c>
      <c r="V19" s="30">
        <v>140</v>
      </c>
      <c r="W19" s="29">
        <v>349</v>
      </c>
    </row>
    <row r="20" spans="1:27" s="31" customFormat="1" ht="12.75" x14ac:dyDescent="0.2">
      <c r="A20" s="5" t="s">
        <v>47</v>
      </c>
      <c r="B20" s="92">
        <v>100</v>
      </c>
      <c r="C20" s="92">
        <v>50</v>
      </c>
      <c r="D20" s="92">
        <v>1150</v>
      </c>
      <c r="E20" s="92">
        <v>0</v>
      </c>
      <c r="F20" s="92">
        <v>0</v>
      </c>
      <c r="G20" s="26">
        <v>0</v>
      </c>
      <c r="H20" s="92">
        <v>0</v>
      </c>
      <c r="I20" s="92">
        <v>6</v>
      </c>
      <c r="J20" s="27">
        <v>0</v>
      </c>
      <c r="K20" s="28">
        <v>0</v>
      </c>
      <c r="L20" s="28">
        <v>0</v>
      </c>
      <c r="M20" s="92">
        <v>0</v>
      </c>
      <c r="N20" s="28">
        <v>0</v>
      </c>
      <c r="O20" s="29">
        <v>0</v>
      </c>
      <c r="P20" s="28">
        <v>0</v>
      </c>
      <c r="Q20" s="28">
        <v>0</v>
      </c>
      <c r="R20" s="92">
        <v>0</v>
      </c>
      <c r="S20" s="92">
        <v>0</v>
      </c>
      <c r="T20" s="28">
        <v>0</v>
      </c>
      <c r="U20" s="28" t="s">
        <v>130</v>
      </c>
      <c r="V20" s="92">
        <v>0</v>
      </c>
      <c r="W20" s="29">
        <v>0</v>
      </c>
    </row>
    <row r="21" spans="1:27" s="31" customFormat="1" ht="12.75" x14ac:dyDescent="0.2">
      <c r="A21" s="5" t="s">
        <v>48</v>
      </c>
      <c r="B21" s="92">
        <v>86</v>
      </c>
      <c r="C21" s="92">
        <v>77</v>
      </c>
      <c r="D21" s="92">
        <v>486</v>
      </c>
      <c r="E21" s="92">
        <v>287</v>
      </c>
      <c r="F21" s="92">
        <v>0</v>
      </c>
      <c r="G21" s="26">
        <v>0</v>
      </c>
      <c r="H21" s="92">
        <v>0</v>
      </c>
      <c r="I21" s="92">
        <v>6</v>
      </c>
      <c r="J21" s="27">
        <v>0</v>
      </c>
      <c r="K21" s="28">
        <v>0</v>
      </c>
      <c r="L21" s="28">
        <v>0</v>
      </c>
      <c r="M21" s="92">
        <v>0</v>
      </c>
      <c r="N21" s="28">
        <v>0</v>
      </c>
      <c r="O21" s="29">
        <v>0</v>
      </c>
      <c r="P21" s="28">
        <v>0</v>
      </c>
      <c r="Q21" s="28">
        <v>0</v>
      </c>
      <c r="R21" s="92">
        <v>0</v>
      </c>
      <c r="S21" s="92">
        <v>300</v>
      </c>
      <c r="T21" s="28">
        <v>0</v>
      </c>
      <c r="U21" s="28">
        <v>0</v>
      </c>
      <c r="V21" s="92">
        <v>0</v>
      </c>
      <c r="W21" s="29">
        <v>0</v>
      </c>
    </row>
    <row r="22" spans="1:27" s="31" customFormat="1" ht="12.75" x14ac:dyDescent="0.2">
      <c r="A22" s="25" t="s">
        <v>49</v>
      </c>
      <c r="B22" s="92">
        <v>246</v>
      </c>
      <c r="C22" s="92">
        <v>25</v>
      </c>
      <c r="D22" s="92">
        <v>1146</v>
      </c>
      <c r="E22" s="32">
        <v>223</v>
      </c>
      <c r="F22" s="92">
        <v>0</v>
      </c>
      <c r="G22" s="26">
        <v>0</v>
      </c>
      <c r="H22" s="92">
        <v>0</v>
      </c>
      <c r="I22" s="92">
        <v>0</v>
      </c>
      <c r="J22" s="27">
        <v>0</v>
      </c>
      <c r="K22" s="28">
        <v>0</v>
      </c>
      <c r="L22" s="28">
        <v>0</v>
      </c>
      <c r="M22" s="92">
        <v>25</v>
      </c>
      <c r="N22" s="92">
        <v>0</v>
      </c>
      <c r="O22" s="92">
        <v>2884</v>
      </c>
      <c r="P22" s="92">
        <v>7080</v>
      </c>
      <c r="Q22" s="92">
        <v>38</v>
      </c>
      <c r="R22" s="92">
        <v>40</v>
      </c>
      <c r="S22" s="92">
        <v>10405</v>
      </c>
      <c r="T22" s="92">
        <v>500</v>
      </c>
      <c r="U22" s="92">
        <v>4680</v>
      </c>
      <c r="V22" s="92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89"/>
      <c r="J23" s="89"/>
      <c r="K23" s="89"/>
      <c r="L23" s="89"/>
      <c r="M23" s="89"/>
      <c r="N23" s="89"/>
      <c r="O23" s="89"/>
      <c r="P23" s="89"/>
      <c r="Q23" s="33"/>
      <c r="R23" s="33"/>
      <c r="S23" s="89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70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92">
        <v>0</v>
      </c>
      <c r="C25" s="92">
        <v>0</v>
      </c>
      <c r="D25" s="92">
        <v>0</v>
      </c>
      <c r="E25" s="27">
        <v>0</v>
      </c>
      <c r="F25" s="92">
        <v>0</v>
      </c>
      <c r="G25" s="32">
        <v>0</v>
      </c>
      <c r="H25" s="92">
        <v>0</v>
      </c>
      <c r="I25" s="32">
        <v>0</v>
      </c>
      <c r="J25" s="92">
        <v>0</v>
      </c>
      <c r="K25" s="92">
        <v>0</v>
      </c>
      <c r="L25" s="41">
        <v>0</v>
      </c>
      <c r="M25" s="27">
        <v>0</v>
      </c>
      <c r="N25" s="92">
        <v>0</v>
      </c>
      <c r="O25" s="92">
        <v>0</v>
      </c>
      <c r="P25" s="27">
        <v>0</v>
      </c>
      <c r="Q25" s="92">
        <v>0</v>
      </c>
      <c r="R25" s="92">
        <v>0</v>
      </c>
      <c r="S25" s="92">
        <v>0</v>
      </c>
      <c r="T25" s="92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92">
        <v>0</v>
      </c>
      <c r="C26" s="92">
        <v>0</v>
      </c>
      <c r="D26" s="92">
        <v>0</v>
      </c>
      <c r="E26" s="27">
        <v>0</v>
      </c>
      <c r="F26" s="92">
        <v>0</v>
      </c>
      <c r="G26" s="32">
        <v>0</v>
      </c>
      <c r="H26" s="92">
        <v>0</v>
      </c>
      <c r="I26" s="32">
        <v>0</v>
      </c>
      <c r="J26" s="92">
        <v>0</v>
      </c>
      <c r="K26" s="92">
        <v>0</v>
      </c>
      <c r="L26" s="41">
        <v>0</v>
      </c>
      <c r="M26" s="27">
        <v>0</v>
      </c>
      <c r="N26" s="92">
        <v>0</v>
      </c>
      <c r="O26" s="92">
        <v>0</v>
      </c>
      <c r="P26" s="27">
        <v>0</v>
      </c>
      <c r="Q26" s="92">
        <v>0</v>
      </c>
      <c r="R26" s="92">
        <v>0</v>
      </c>
      <c r="S26" s="92">
        <v>0</v>
      </c>
      <c r="T26" s="92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92">
        <v>0</v>
      </c>
      <c r="C27" s="92">
        <v>0</v>
      </c>
      <c r="D27" s="92">
        <v>0</v>
      </c>
      <c r="E27" s="27">
        <v>0</v>
      </c>
      <c r="F27" s="92">
        <v>0</v>
      </c>
      <c r="G27" s="32">
        <v>0</v>
      </c>
      <c r="H27" s="92">
        <v>0</v>
      </c>
      <c r="I27" s="32">
        <v>0</v>
      </c>
      <c r="J27" s="92">
        <v>0</v>
      </c>
      <c r="K27" s="92">
        <v>0</v>
      </c>
      <c r="L27" s="41">
        <v>0</v>
      </c>
      <c r="M27" s="27">
        <v>0</v>
      </c>
      <c r="N27" s="92">
        <v>0</v>
      </c>
      <c r="O27" s="92">
        <v>0</v>
      </c>
      <c r="P27" s="27">
        <v>0</v>
      </c>
      <c r="Q27" s="92">
        <v>0</v>
      </c>
      <c r="R27" s="92">
        <v>0</v>
      </c>
      <c r="S27" s="92">
        <v>0</v>
      </c>
      <c r="T27" s="92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92">
        <v>0</v>
      </c>
      <c r="C28" s="92">
        <v>0</v>
      </c>
      <c r="D28" s="92">
        <v>0</v>
      </c>
      <c r="E28" s="27">
        <v>0</v>
      </c>
      <c r="F28" s="92">
        <v>0</v>
      </c>
      <c r="G28" s="32">
        <v>0</v>
      </c>
      <c r="H28" s="92">
        <v>0</v>
      </c>
      <c r="I28" s="32">
        <v>0</v>
      </c>
      <c r="J28" s="92">
        <v>0</v>
      </c>
      <c r="K28" s="92">
        <v>0</v>
      </c>
      <c r="L28" s="41">
        <v>0</v>
      </c>
      <c r="M28" s="27">
        <v>0</v>
      </c>
      <c r="N28" s="92">
        <v>0</v>
      </c>
      <c r="O28" s="92">
        <v>0</v>
      </c>
      <c r="P28" s="27">
        <v>0</v>
      </c>
      <c r="Q28" s="92">
        <v>0</v>
      </c>
      <c r="R28" s="92">
        <v>0</v>
      </c>
      <c r="S28" s="92">
        <v>0</v>
      </c>
      <c r="T28" s="92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92">
        <v>2169</v>
      </c>
      <c r="C31" s="92">
        <v>2654</v>
      </c>
      <c r="D31" s="51">
        <v>5892</v>
      </c>
      <c r="E31" s="92">
        <v>15295</v>
      </c>
      <c r="F31" s="92">
        <v>534</v>
      </c>
      <c r="G31" s="92">
        <v>413</v>
      </c>
      <c r="H31" s="92">
        <v>5918</v>
      </c>
      <c r="I31" s="92">
        <v>1135</v>
      </c>
      <c r="J31" s="92">
        <v>4859</v>
      </c>
      <c r="K31" s="92">
        <v>0</v>
      </c>
      <c r="L31" s="92">
        <v>315</v>
      </c>
      <c r="M31" s="28">
        <v>829</v>
      </c>
      <c r="N31" s="92">
        <v>5275</v>
      </c>
      <c r="O31" s="92">
        <v>4186</v>
      </c>
      <c r="P31" s="92">
        <v>139</v>
      </c>
      <c r="Q31" s="92">
        <v>7489</v>
      </c>
      <c r="R31" s="92">
        <v>6087</v>
      </c>
      <c r="S31" s="92">
        <v>8993</v>
      </c>
      <c r="T31" s="92">
        <v>3600</v>
      </c>
      <c r="U31" s="92">
        <v>9232</v>
      </c>
      <c r="V31" s="28">
        <v>3056</v>
      </c>
      <c r="W31" s="27">
        <v>17998</v>
      </c>
      <c r="X31" s="52">
        <v>1971</v>
      </c>
      <c r="Y31" s="52">
        <v>10771</v>
      </c>
      <c r="Z31" s="53">
        <v>19641</v>
      </c>
      <c r="AA31" s="54"/>
    </row>
    <row r="32" spans="1:27" x14ac:dyDescent="0.25">
      <c r="A32" s="5" t="s">
        <v>47</v>
      </c>
      <c r="B32" s="92">
        <v>100</v>
      </c>
      <c r="C32" s="92">
        <v>50</v>
      </c>
      <c r="D32" s="55">
        <v>1150</v>
      </c>
      <c r="E32" s="55">
        <v>0</v>
      </c>
      <c r="F32" s="92">
        <v>3</v>
      </c>
      <c r="G32" s="92">
        <v>7</v>
      </c>
      <c r="H32" s="92">
        <v>10</v>
      </c>
      <c r="I32" s="92">
        <v>1</v>
      </c>
      <c r="J32" s="92">
        <v>0</v>
      </c>
      <c r="K32" s="92">
        <v>0</v>
      </c>
      <c r="L32" s="92">
        <v>0</v>
      </c>
      <c r="M32" s="28">
        <v>6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92">
        <v>0</v>
      </c>
      <c r="C33" s="92">
        <v>0</v>
      </c>
      <c r="D33" s="92">
        <v>0</v>
      </c>
      <c r="E33" s="3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28">
        <v>0</v>
      </c>
      <c r="N33" s="92">
        <v>0</v>
      </c>
      <c r="O33" s="3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92">
        <v>2069</v>
      </c>
      <c r="C34" s="28">
        <v>2604</v>
      </c>
      <c r="D34" s="92">
        <v>4742</v>
      </c>
      <c r="E34" s="92">
        <v>15295</v>
      </c>
      <c r="F34" s="92">
        <v>531</v>
      </c>
      <c r="G34" s="92">
        <v>406</v>
      </c>
      <c r="H34" s="92">
        <v>5908</v>
      </c>
      <c r="I34" s="92">
        <v>1134</v>
      </c>
      <c r="J34" s="92">
        <v>4859</v>
      </c>
      <c r="K34" s="92">
        <f>K31-K32-K33</f>
        <v>0</v>
      </c>
      <c r="L34" s="92">
        <v>315</v>
      </c>
      <c r="M34" s="28">
        <v>823</v>
      </c>
      <c r="N34" s="92">
        <v>5275</v>
      </c>
      <c r="O34" s="92">
        <v>4186</v>
      </c>
      <c r="P34" s="92">
        <v>139</v>
      </c>
      <c r="Q34" s="92">
        <f>Q31-Q32-Q33</f>
        <v>7489</v>
      </c>
      <c r="R34" s="92">
        <f>R31-R32-R33</f>
        <v>6087</v>
      </c>
      <c r="S34" s="92">
        <f>S31-S32-S33</f>
        <v>8993</v>
      </c>
      <c r="T34" s="92">
        <f>T31-T32-T33</f>
        <v>3600</v>
      </c>
      <c r="U34" s="92">
        <v>9232</v>
      </c>
      <c r="V34" s="28">
        <v>3056</v>
      </c>
      <c r="W34" s="92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198122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3136143.5399999996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2763545.32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89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277189.44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91" t="s">
        <v>99</v>
      </c>
      <c r="E43" s="253" t="s">
        <v>100</v>
      </c>
      <c r="F43" s="253"/>
      <c r="G43" s="253"/>
      <c r="H43" s="90" t="s">
        <v>99</v>
      </c>
      <c r="I43" s="96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91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78574</v>
      </c>
      <c r="C44" s="65">
        <v>78615</v>
      </c>
      <c r="D44" s="64">
        <v>2380</v>
      </c>
      <c r="E44" s="66">
        <v>78564</v>
      </c>
      <c r="F44" s="257">
        <v>78573</v>
      </c>
      <c r="G44" s="257"/>
      <c r="H44" s="67">
        <v>330</v>
      </c>
      <c r="I44" s="68">
        <v>80</v>
      </c>
      <c r="J44" s="248" t="s">
        <v>104</v>
      </c>
      <c r="K44" s="248"/>
      <c r="L44" s="248"/>
      <c r="M44" s="248"/>
      <c r="N44" s="248"/>
      <c r="O44" s="69">
        <v>100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89" t="s">
        <v>107</v>
      </c>
      <c r="E50" s="242">
        <v>9710</v>
      </c>
      <c r="F50" s="243"/>
      <c r="G50" s="243"/>
      <c r="H50" s="244"/>
      <c r="I50" s="1"/>
      <c r="J50" s="211" t="s">
        <v>108</v>
      </c>
      <c r="K50" s="211"/>
      <c r="L50" s="212"/>
      <c r="M50" s="218">
        <v>29249620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89" t="s">
        <v>109</v>
      </c>
      <c r="E51" s="242">
        <v>699947</v>
      </c>
      <c r="F51" s="243"/>
      <c r="G51" s="243"/>
      <c r="H51" s="244"/>
      <c r="I51" s="1"/>
      <c r="J51" s="211" t="s">
        <v>110</v>
      </c>
      <c r="K51" s="211"/>
      <c r="L51" s="212"/>
      <c r="M51" s="218">
        <v>460045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709657</v>
      </c>
      <c r="F52" s="249"/>
      <c r="G52" s="249"/>
      <c r="H52" s="249"/>
      <c r="I52" s="1"/>
      <c r="J52" s="211" t="s">
        <v>112</v>
      </c>
      <c r="K52" s="211"/>
      <c r="L52" s="212"/>
      <c r="M52" s="250">
        <v>699947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464958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2425667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29024564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29024564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A36" sqref="A36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125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85" t="s">
        <v>6</v>
      </c>
      <c r="J5" s="86"/>
      <c r="K5" s="86"/>
      <c r="L5" s="86"/>
      <c r="M5" s="293">
        <v>0.129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84">
        <v>20295</v>
      </c>
      <c r="E7" s="11"/>
      <c r="G7" s="12"/>
      <c r="H7" s="13"/>
      <c r="I7" s="278" t="s">
        <v>13</v>
      </c>
      <c r="J7" s="278"/>
      <c r="K7" s="278"/>
      <c r="L7" s="278"/>
      <c r="M7" s="290">
        <v>600</v>
      </c>
      <c r="N7" s="290"/>
      <c r="O7" s="291">
        <v>3.4200000000000001E-2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87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87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81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128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84">
        <v>124</v>
      </c>
      <c r="C19" s="84">
        <v>63</v>
      </c>
      <c r="D19" s="84">
        <v>1205</v>
      </c>
      <c r="E19" s="84">
        <v>550</v>
      </c>
      <c r="F19" s="84">
        <v>0</v>
      </c>
      <c r="G19" s="26">
        <v>0</v>
      </c>
      <c r="H19" s="84">
        <v>0</v>
      </c>
      <c r="I19" s="84">
        <v>0</v>
      </c>
      <c r="J19" s="27">
        <v>0</v>
      </c>
      <c r="K19" s="28">
        <v>0</v>
      </c>
      <c r="L19" s="28">
        <v>0</v>
      </c>
      <c r="M19" s="84">
        <v>0</v>
      </c>
      <c r="N19" s="28">
        <v>0</v>
      </c>
      <c r="O19" s="29">
        <v>2884</v>
      </c>
      <c r="P19" s="28">
        <v>7380</v>
      </c>
      <c r="Q19" s="28">
        <v>38</v>
      </c>
      <c r="R19" s="28">
        <v>40</v>
      </c>
      <c r="S19" s="84">
        <v>9855</v>
      </c>
      <c r="T19" s="84">
        <v>500</v>
      </c>
      <c r="U19" s="30">
        <v>680</v>
      </c>
      <c r="V19" s="30">
        <v>1356</v>
      </c>
      <c r="W19" s="29">
        <v>349</v>
      </c>
    </row>
    <row r="20" spans="1:27" s="31" customFormat="1" ht="12.75" x14ac:dyDescent="0.2">
      <c r="A20" s="5" t="s">
        <v>47</v>
      </c>
      <c r="B20" s="84">
        <v>450</v>
      </c>
      <c r="C20" s="84">
        <v>150</v>
      </c>
      <c r="D20" s="84">
        <v>750</v>
      </c>
      <c r="E20" s="84">
        <v>700</v>
      </c>
      <c r="F20" s="84">
        <v>3</v>
      </c>
      <c r="G20" s="26">
        <v>7</v>
      </c>
      <c r="H20" s="84">
        <v>10</v>
      </c>
      <c r="I20" s="84">
        <v>2</v>
      </c>
      <c r="J20" s="27">
        <v>10</v>
      </c>
      <c r="K20" s="28">
        <v>1</v>
      </c>
      <c r="L20" s="28">
        <v>0</v>
      </c>
      <c r="M20" s="84">
        <v>26</v>
      </c>
      <c r="N20" s="28">
        <v>70</v>
      </c>
      <c r="O20" s="29">
        <v>0</v>
      </c>
      <c r="P20" s="28">
        <v>0</v>
      </c>
      <c r="Q20" s="28">
        <v>0</v>
      </c>
      <c r="R20" s="84">
        <v>0</v>
      </c>
      <c r="S20" s="88" t="s">
        <v>126</v>
      </c>
      <c r="T20" s="28">
        <v>0</v>
      </c>
      <c r="U20" s="28">
        <v>0</v>
      </c>
      <c r="V20" s="88" t="s">
        <v>127</v>
      </c>
      <c r="W20" s="29">
        <v>0</v>
      </c>
    </row>
    <row r="21" spans="1:27" s="31" customFormat="1" ht="12.75" x14ac:dyDescent="0.2">
      <c r="A21" s="5" t="s">
        <v>48</v>
      </c>
      <c r="B21" s="84">
        <v>342</v>
      </c>
      <c r="C21" s="84">
        <v>161</v>
      </c>
      <c r="D21" s="84">
        <v>1473</v>
      </c>
      <c r="E21" s="84">
        <v>740</v>
      </c>
      <c r="F21" s="84">
        <v>3</v>
      </c>
      <c r="G21" s="26">
        <v>7</v>
      </c>
      <c r="H21" s="84">
        <v>10</v>
      </c>
      <c r="I21" s="84">
        <v>2</v>
      </c>
      <c r="J21" s="27">
        <v>10</v>
      </c>
      <c r="K21" s="28">
        <v>1</v>
      </c>
      <c r="L21" s="28">
        <v>30</v>
      </c>
      <c r="M21" s="84">
        <v>1</v>
      </c>
      <c r="N21" s="28">
        <v>70</v>
      </c>
      <c r="O21" s="29">
        <v>0</v>
      </c>
      <c r="P21" s="28">
        <v>300</v>
      </c>
      <c r="Q21" s="28">
        <v>0</v>
      </c>
      <c r="R21" s="84">
        <v>0</v>
      </c>
      <c r="S21" s="84">
        <v>100</v>
      </c>
      <c r="T21" s="28">
        <v>0</v>
      </c>
      <c r="U21" s="28">
        <v>0</v>
      </c>
      <c r="V21" s="84">
        <v>1510</v>
      </c>
      <c r="W21" s="29">
        <v>0</v>
      </c>
    </row>
    <row r="22" spans="1:27" s="31" customFormat="1" ht="12.75" x14ac:dyDescent="0.2">
      <c r="A22" s="25" t="s">
        <v>49</v>
      </c>
      <c r="B22" s="84">
        <v>232</v>
      </c>
      <c r="C22" s="84">
        <v>52</v>
      </c>
      <c r="D22" s="84">
        <v>482</v>
      </c>
      <c r="E22" s="32">
        <v>510</v>
      </c>
      <c r="F22" s="84">
        <v>0</v>
      </c>
      <c r="G22" s="26">
        <v>0</v>
      </c>
      <c r="H22" s="84">
        <v>0</v>
      </c>
      <c r="I22" s="84">
        <v>0</v>
      </c>
      <c r="J22" s="27">
        <v>0</v>
      </c>
      <c r="K22" s="28">
        <v>0</v>
      </c>
      <c r="L22" s="28">
        <v>0</v>
      </c>
      <c r="M22" s="84">
        <v>25</v>
      </c>
      <c r="N22" s="84">
        <v>0</v>
      </c>
      <c r="O22" s="84">
        <v>2884</v>
      </c>
      <c r="P22" s="84">
        <v>7080</v>
      </c>
      <c r="Q22" s="84">
        <v>38</v>
      </c>
      <c r="R22" s="84">
        <v>40</v>
      </c>
      <c r="S22" s="84">
        <v>10705</v>
      </c>
      <c r="T22" s="84">
        <v>500</v>
      </c>
      <c r="U22" s="84">
        <v>680</v>
      </c>
      <c r="V22" s="84">
        <v>14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81"/>
      <c r="J23" s="81"/>
      <c r="K23" s="81"/>
      <c r="L23" s="81"/>
      <c r="M23" s="81"/>
      <c r="N23" s="81"/>
      <c r="O23" s="81"/>
      <c r="P23" s="81"/>
      <c r="Q23" s="33"/>
      <c r="R23" s="33"/>
      <c r="S23" s="81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70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84">
        <v>0</v>
      </c>
      <c r="C25" s="84">
        <v>0</v>
      </c>
      <c r="D25" s="84">
        <v>0</v>
      </c>
      <c r="E25" s="27">
        <v>0</v>
      </c>
      <c r="F25" s="84">
        <v>0</v>
      </c>
      <c r="G25" s="32">
        <v>0</v>
      </c>
      <c r="H25" s="84">
        <v>0</v>
      </c>
      <c r="I25" s="32">
        <v>0</v>
      </c>
      <c r="J25" s="84">
        <v>0</v>
      </c>
      <c r="K25" s="84">
        <v>0</v>
      </c>
      <c r="L25" s="41">
        <v>0</v>
      </c>
      <c r="M25" s="27">
        <v>0</v>
      </c>
      <c r="N25" s="84">
        <v>0</v>
      </c>
      <c r="O25" s="84">
        <v>0</v>
      </c>
      <c r="P25" s="27">
        <v>0</v>
      </c>
      <c r="Q25" s="84">
        <v>0</v>
      </c>
      <c r="R25" s="84">
        <v>0</v>
      </c>
      <c r="S25" s="84">
        <v>0</v>
      </c>
      <c r="T25" s="84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84">
        <v>0</v>
      </c>
      <c r="C26" s="84">
        <v>0</v>
      </c>
      <c r="D26" s="84">
        <v>0</v>
      </c>
      <c r="E26" s="27">
        <v>0</v>
      </c>
      <c r="F26" s="84">
        <v>0</v>
      </c>
      <c r="G26" s="32">
        <v>0</v>
      </c>
      <c r="H26" s="84">
        <v>0</v>
      </c>
      <c r="I26" s="32">
        <v>0</v>
      </c>
      <c r="J26" s="84">
        <v>0</v>
      </c>
      <c r="K26" s="84">
        <v>0</v>
      </c>
      <c r="L26" s="41">
        <v>0</v>
      </c>
      <c r="M26" s="27">
        <v>0</v>
      </c>
      <c r="N26" s="84">
        <v>0</v>
      </c>
      <c r="O26" s="84">
        <v>0</v>
      </c>
      <c r="P26" s="27">
        <v>0</v>
      </c>
      <c r="Q26" s="84">
        <v>0</v>
      </c>
      <c r="R26" s="84">
        <v>0</v>
      </c>
      <c r="S26" s="84">
        <v>0</v>
      </c>
      <c r="T26" s="84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84">
        <v>0</v>
      </c>
      <c r="C27" s="84">
        <v>0</v>
      </c>
      <c r="D27" s="84">
        <v>0</v>
      </c>
      <c r="E27" s="27">
        <v>0</v>
      </c>
      <c r="F27" s="84">
        <v>0</v>
      </c>
      <c r="G27" s="32">
        <v>0</v>
      </c>
      <c r="H27" s="84">
        <v>0</v>
      </c>
      <c r="I27" s="32">
        <v>0</v>
      </c>
      <c r="J27" s="84">
        <v>0</v>
      </c>
      <c r="K27" s="84">
        <v>0</v>
      </c>
      <c r="L27" s="41">
        <v>0</v>
      </c>
      <c r="M27" s="27">
        <v>0</v>
      </c>
      <c r="N27" s="84">
        <v>0</v>
      </c>
      <c r="O27" s="84">
        <v>0</v>
      </c>
      <c r="P27" s="27">
        <v>0</v>
      </c>
      <c r="Q27" s="84">
        <v>0</v>
      </c>
      <c r="R27" s="84">
        <v>0</v>
      </c>
      <c r="S27" s="84">
        <v>0</v>
      </c>
      <c r="T27" s="84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84">
        <v>0</v>
      </c>
      <c r="C28" s="84">
        <v>0</v>
      </c>
      <c r="D28" s="84">
        <v>0</v>
      </c>
      <c r="E28" s="27">
        <v>0</v>
      </c>
      <c r="F28" s="84">
        <v>0</v>
      </c>
      <c r="G28" s="32">
        <v>0</v>
      </c>
      <c r="H28" s="84">
        <v>0</v>
      </c>
      <c r="I28" s="32">
        <v>0</v>
      </c>
      <c r="J28" s="84">
        <v>0</v>
      </c>
      <c r="K28" s="84">
        <v>0</v>
      </c>
      <c r="L28" s="41">
        <v>0</v>
      </c>
      <c r="M28" s="27">
        <v>0</v>
      </c>
      <c r="N28" s="84">
        <v>0</v>
      </c>
      <c r="O28" s="84">
        <v>0</v>
      </c>
      <c r="P28" s="27">
        <v>0</v>
      </c>
      <c r="Q28" s="84">
        <v>0</v>
      </c>
      <c r="R28" s="84">
        <v>0</v>
      </c>
      <c r="S28" s="84">
        <v>0</v>
      </c>
      <c r="T28" s="84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84">
        <v>2619</v>
      </c>
      <c r="C31" s="84">
        <v>2804</v>
      </c>
      <c r="D31" s="51">
        <v>1642</v>
      </c>
      <c r="E31" s="84">
        <v>15995</v>
      </c>
      <c r="F31" s="84">
        <v>534</v>
      </c>
      <c r="G31" s="84">
        <v>413</v>
      </c>
      <c r="H31" s="84">
        <v>5918</v>
      </c>
      <c r="I31" s="84">
        <v>1135</v>
      </c>
      <c r="J31" s="84">
        <v>4859</v>
      </c>
      <c r="K31" s="84">
        <v>0</v>
      </c>
      <c r="L31" s="84">
        <v>315</v>
      </c>
      <c r="M31" s="28">
        <v>831</v>
      </c>
      <c r="N31" s="84">
        <v>5275</v>
      </c>
      <c r="O31" s="84">
        <v>4534</v>
      </c>
      <c r="P31" s="84">
        <v>141</v>
      </c>
      <c r="Q31" s="84">
        <v>7489</v>
      </c>
      <c r="R31" s="84">
        <v>6087</v>
      </c>
      <c r="S31" s="84">
        <v>8993</v>
      </c>
      <c r="T31" s="84">
        <v>3600</v>
      </c>
      <c r="U31" s="84">
        <v>9232</v>
      </c>
      <c r="V31" s="28">
        <v>3056</v>
      </c>
      <c r="W31" s="27">
        <v>17998</v>
      </c>
      <c r="X31" s="52">
        <v>1971</v>
      </c>
      <c r="Y31" s="52">
        <v>10781</v>
      </c>
      <c r="Z31" s="53">
        <v>19641</v>
      </c>
      <c r="AA31" s="54"/>
    </row>
    <row r="32" spans="1:27" x14ac:dyDescent="0.25">
      <c r="A32" s="5" t="s">
        <v>47</v>
      </c>
      <c r="B32" s="84">
        <v>450</v>
      </c>
      <c r="C32" s="84">
        <v>150</v>
      </c>
      <c r="D32" s="55">
        <v>750</v>
      </c>
      <c r="E32" s="55">
        <v>700</v>
      </c>
      <c r="F32" s="84">
        <v>3</v>
      </c>
      <c r="G32" s="84">
        <v>7</v>
      </c>
      <c r="H32" s="84">
        <v>10</v>
      </c>
      <c r="I32" s="84">
        <v>1</v>
      </c>
      <c r="J32" s="84">
        <v>0</v>
      </c>
      <c r="K32" s="84">
        <v>0</v>
      </c>
      <c r="L32" s="84">
        <v>0</v>
      </c>
      <c r="M32" s="28">
        <v>2</v>
      </c>
      <c r="N32" s="84">
        <v>0</v>
      </c>
      <c r="O32" s="84">
        <v>348</v>
      </c>
      <c r="P32" s="84">
        <v>2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28">
        <v>0</v>
      </c>
      <c r="W32" s="27">
        <v>0</v>
      </c>
      <c r="X32" s="52">
        <v>0</v>
      </c>
      <c r="Y32" s="52">
        <v>10</v>
      </c>
      <c r="Z32" s="53">
        <v>0</v>
      </c>
      <c r="AA32" s="54"/>
    </row>
    <row r="33" spans="1:27" x14ac:dyDescent="0.25">
      <c r="A33" s="5" t="s">
        <v>72</v>
      </c>
      <c r="B33" s="84">
        <v>0</v>
      </c>
      <c r="C33" s="84">
        <v>0</v>
      </c>
      <c r="D33" s="88" t="s">
        <v>124</v>
      </c>
      <c r="E33" s="32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  <c r="K33" s="84">
        <v>0</v>
      </c>
      <c r="L33" s="84">
        <v>0</v>
      </c>
      <c r="M33" s="28">
        <v>0</v>
      </c>
      <c r="N33" s="84">
        <v>0</v>
      </c>
      <c r="O33" s="32">
        <v>0</v>
      </c>
      <c r="P33" s="84">
        <v>0</v>
      </c>
      <c r="Q33" s="84">
        <v>0</v>
      </c>
      <c r="R33" s="84">
        <v>0</v>
      </c>
      <c r="S33" s="84">
        <v>0</v>
      </c>
      <c r="T33" s="84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84">
        <v>2169</v>
      </c>
      <c r="C34" s="28">
        <v>2654</v>
      </c>
      <c r="D34" s="84">
        <v>5892</v>
      </c>
      <c r="E34" s="84">
        <v>15295</v>
      </c>
      <c r="F34" s="84">
        <v>531</v>
      </c>
      <c r="G34" s="84">
        <v>406</v>
      </c>
      <c r="H34" s="84">
        <v>5908</v>
      </c>
      <c r="I34" s="84">
        <v>1134</v>
      </c>
      <c r="J34" s="84">
        <v>4859</v>
      </c>
      <c r="K34" s="84">
        <f>K31-K32-K33</f>
        <v>0</v>
      </c>
      <c r="L34" s="84">
        <v>315</v>
      </c>
      <c r="M34" s="28">
        <v>829</v>
      </c>
      <c r="N34" s="84">
        <v>5275</v>
      </c>
      <c r="O34" s="84">
        <v>4186</v>
      </c>
      <c r="P34" s="84">
        <v>139</v>
      </c>
      <c r="Q34" s="84">
        <f>Q31-Q32-Q33</f>
        <v>7489</v>
      </c>
      <c r="R34" s="84">
        <f>R31-R32-R33</f>
        <v>6087</v>
      </c>
      <c r="S34" s="84">
        <f>S31-S32-S33</f>
        <v>8993</v>
      </c>
      <c r="T34" s="84">
        <f>T31-T32-T33</f>
        <v>3600</v>
      </c>
      <c r="U34" s="84">
        <v>9232</v>
      </c>
      <c r="V34" s="28">
        <v>3056</v>
      </c>
      <c r="W34" s="84">
        <f>W31-W32-W33</f>
        <v>17998</v>
      </c>
      <c r="X34" s="52">
        <v>1971</v>
      </c>
      <c r="Y34" s="52">
        <v>10771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94907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3649267.94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2786262.12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81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767597.04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83" t="s">
        <v>99</v>
      </c>
      <c r="E43" s="253" t="s">
        <v>100</v>
      </c>
      <c r="F43" s="253"/>
      <c r="G43" s="253"/>
      <c r="H43" s="82" t="s">
        <v>99</v>
      </c>
      <c r="I43" s="83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83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78516</v>
      </c>
      <c r="C44" s="65">
        <v>78563</v>
      </c>
      <c r="D44" s="64">
        <v>2030</v>
      </c>
      <c r="E44" s="66">
        <v>78505</v>
      </c>
      <c r="F44" s="257">
        <v>78515</v>
      </c>
      <c r="G44" s="257"/>
      <c r="H44" s="67">
        <v>160</v>
      </c>
      <c r="I44" s="68">
        <v>30</v>
      </c>
      <c r="J44" s="248" t="s">
        <v>104</v>
      </c>
      <c r="K44" s="248"/>
      <c r="L44" s="248"/>
      <c r="M44" s="248"/>
      <c r="N44" s="248"/>
      <c r="O44" s="69">
        <v>160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81" t="s">
        <v>107</v>
      </c>
      <c r="E50" s="242">
        <v>46726</v>
      </c>
      <c r="F50" s="243"/>
      <c r="G50" s="243"/>
      <c r="H50" s="244"/>
      <c r="I50" s="1"/>
      <c r="J50" s="211" t="s">
        <v>108</v>
      </c>
      <c r="K50" s="211"/>
      <c r="L50" s="212"/>
      <c r="M50" s="218">
        <v>28167409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81" t="s">
        <v>109</v>
      </c>
      <c r="E51" s="242">
        <v>3073141</v>
      </c>
      <c r="F51" s="243"/>
      <c r="G51" s="243"/>
      <c r="H51" s="244"/>
      <c r="I51" s="1"/>
      <c r="J51" s="211" t="s">
        <v>110</v>
      </c>
      <c r="K51" s="211"/>
      <c r="L51" s="212"/>
      <c r="M51" s="218">
        <v>0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3119867</v>
      </c>
      <c r="F52" s="249"/>
      <c r="G52" s="249"/>
      <c r="H52" s="249"/>
      <c r="I52" s="1"/>
      <c r="J52" s="211" t="s">
        <v>112</v>
      </c>
      <c r="K52" s="211"/>
      <c r="L52" s="212"/>
      <c r="M52" s="250">
        <v>1756752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674541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701072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29249620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29249620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topLeftCell="A19" workbookViewId="0">
      <selection activeCell="A28" sqref="A28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120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6" t="s">
        <v>6</v>
      </c>
      <c r="J5" s="7"/>
      <c r="K5" s="7"/>
      <c r="L5" s="7"/>
      <c r="M5" s="293">
        <v>0.113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0">
        <v>21605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6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6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7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33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10">
        <v>108</v>
      </c>
      <c r="C19" s="10">
        <v>83</v>
      </c>
      <c r="D19" s="10">
        <v>1433</v>
      </c>
      <c r="E19" s="10">
        <v>680</v>
      </c>
      <c r="F19" s="10">
        <v>0</v>
      </c>
      <c r="G19" s="26">
        <v>0</v>
      </c>
      <c r="H19" s="10">
        <v>0</v>
      </c>
      <c r="I19" s="10">
        <v>0</v>
      </c>
      <c r="J19" s="27">
        <v>0</v>
      </c>
      <c r="K19" s="28">
        <v>0</v>
      </c>
      <c r="L19" s="28">
        <v>0</v>
      </c>
      <c r="M19" s="10">
        <v>0</v>
      </c>
      <c r="N19" s="28">
        <v>0</v>
      </c>
      <c r="O19" s="29">
        <v>2884</v>
      </c>
      <c r="P19" s="28">
        <v>2480</v>
      </c>
      <c r="Q19" s="28">
        <v>38</v>
      </c>
      <c r="R19" s="28">
        <v>40</v>
      </c>
      <c r="S19" s="10">
        <v>9855</v>
      </c>
      <c r="T19" s="10">
        <v>500</v>
      </c>
      <c r="U19" s="30">
        <v>680</v>
      </c>
      <c r="V19" s="30">
        <v>1356</v>
      </c>
      <c r="W19" s="29">
        <v>349</v>
      </c>
    </row>
    <row r="20" spans="1:27" s="31" customFormat="1" ht="12.75" x14ac:dyDescent="0.2">
      <c r="A20" s="5" t="s">
        <v>47</v>
      </c>
      <c r="B20" s="10">
        <v>50</v>
      </c>
      <c r="C20" s="10">
        <v>0</v>
      </c>
      <c r="D20" s="10">
        <v>0</v>
      </c>
      <c r="E20" s="10">
        <v>0</v>
      </c>
      <c r="F20" s="10">
        <v>2</v>
      </c>
      <c r="G20" s="26">
        <v>0</v>
      </c>
      <c r="H20" s="10">
        <v>0</v>
      </c>
      <c r="I20" s="10">
        <v>1</v>
      </c>
      <c r="J20" s="27">
        <v>0</v>
      </c>
      <c r="K20" s="28">
        <v>0</v>
      </c>
      <c r="L20" s="28">
        <v>0</v>
      </c>
      <c r="M20" s="10">
        <v>0</v>
      </c>
      <c r="N20" s="28">
        <v>0</v>
      </c>
      <c r="O20" s="29">
        <v>0</v>
      </c>
      <c r="P20" s="28" t="s">
        <v>124</v>
      </c>
      <c r="Q20" s="28">
        <v>0</v>
      </c>
      <c r="R20" s="10">
        <v>0</v>
      </c>
      <c r="S20" s="10">
        <v>0</v>
      </c>
      <c r="T20" s="28">
        <v>0</v>
      </c>
      <c r="U20" s="28">
        <v>0</v>
      </c>
      <c r="V20" s="10">
        <v>0</v>
      </c>
      <c r="W20" s="29">
        <v>0</v>
      </c>
    </row>
    <row r="21" spans="1:27" s="31" customFormat="1" ht="12.75" x14ac:dyDescent="0.2">
      <c r="A21" s="5" t="s">
        <v>48</v>
      </c>
      <c r="B21" s="10">
        <v>42</v>
      </c>
      <c r="C21" s="10">
        <v>20</v>
      </c>
      <c r="D21" s="10">
        <v>243</v>
      </c>
      <c r="E21" s="10">
        <v>140</v>
      </c>
      <c r="F21" s="10">
        <v>2</v>
      </c>
      <c r="G21" s="26">
        <v>0</v>
      </c>
      <c r="H21" s="10">
        <v>0</v>
      </c>
      <c r="I21" s="10">
        <v>1</v>
      </c>
      <c r="J21" s="27">
        <v>0</v>
      </c>
      <c r="K21" s="28">
        <v>0</v>
      </c>
      <c r="L21" s="28">
        <v>0</v>
      </c>
      <c r="M21" s="10">
        <v>0</v>
      </c>
      <c r="N21" s="28">
        <v>0</v>
      </c>
      <c r="O21" s="29">
        <v>0</v>
      </c>
      <c r="P21" s="28">
        <v>100</v>
      </c>
      <c r="Q21" s="28">
        <v>0</v>
      </c>
      <c r="R21" s="10">
        <v>0</v>
      </c>
      <c r="S21" s="10">
        <v>50</v>
      </c>
      <c r="T21" s="28">
        <v>0</v>
      </c>
      <c r="U21" s="28">
        <v>0</v>
      </c>
      <c r="V21" s="10">
        <v>0</v>
      </c>
      <c r="W21" s="29">
        <v>0</v>
      </c>
    </row>
    <row r="22" spans="1:27" s="31" customFormat="1" ht="12.75" x14ac:dyDescent="0.2">
      <c r="A22" s="25" t="s">
        <v>49</v>
      </c>
      <c r="B22" s="80" t="s">
        <v>122</v>
      </c>
      <c r="C22" s="10">
        <v>63</v>
      </c>
      <c r="D22" s="10">
        <v>1205</v>
      </c>
      <c r="E22" s="32" t="s">
        <v>123</v>
      </c>
      <c r="F22" s="10">
        <v>0</v>
      </c>
      <c r="G22" s="26">
        <v>0</v>
      </c>
      <c r="H22" s="10">
        <v>0</v>
      </c>
      <c r="I22" s="10">
        <v>0</v>
      </c>
      <c r="J22" s="27">
        <v>0</v>
      </c>
      <c r="K22" s="28">
        <v>0</v>
      </c>
      <c r="L22" s="28">
        <v>0</v>
      </c>
      <c r="M22" s="10">
        <v>0</v>
      </c>
      <c r="N22" s="10">
        <v>0</v>
      </c>
      <c r="O22" s="10">
        <v>2884</v>
      </c>
      <c r="P22" s="10">
        <v>7380</v>
      </c>
      <c r="Q22" s="10">
        <v>38</v>
      </c>
      <c r="R22" s="10">
        <v>40</v>
      </c>
      <c r="S22" s="10">
        <v>9805</v>
      </c>
      <c r="T22" s="10">
        <v>500</v>
      </c>
      <c r="U22" s="10">
        <v>680</v>
      </c>
      <c r="V22" s="10">
        <v>1356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7"/>
      <c r="J23" s="17"/>
      <c r="K23" s="17"/>
      <c r="L23" s="17"/>
      <c r="M23" s="17"/>
      <c r="N23" s="17"/>
      <c r="O23" s="17"/>
      <c r="P23" s="17"/>
      <c r="Q23" s="33"/>
      <c r="R23" s="33"/>
      <c r="S23" s="17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70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10">
        <v>0</v>
      </c>
      <c r="C25" s="10">
        <v>0</v>
      </c>
      <c r="D25" s="10">
        <v>0</v>
      </c>
      <c r="E25" s="27">
        <v>0</v>
      </c>
      <c r="F25" s="10">
        <v>0</v>
      </c>
      <c r="G25" s="32">
        <v>0</v>
      </c>
      <c r="H25" s="10">
        <v>0</v>
      </c>
      <c r="I25" s="32">
        <v>0</v>
      </c>
      <c r="J25" s="10">
        <v>0</v>
      </c>
      <c r="K25" s="10">
        <v>0</v>
      </c>
      <c r="L25" s="41">
        <v>0</v>
      </c>
      <c r="M25" s="27">
        <v>0</v>
      </c>
      <c r="N25" s="10">
        <v>0</v>
      </c>
      <c r="O25" s="10">
        <v>0</v>
      </c>
      <c r="P25" s="27">
        <v>0</v>
      </c>
      <c r="Q25" s="10">
        <v>0</v>
      </c>
      <c r="R25" s="10">
        <v>0</v>
      </c>
      <c r="S25" s="10">
        <v>0</v>
      </c>
      <c r="T25" s="10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10">
        <v>0</v>
      </c>
      <c r="C26" s="10">
        <v>0</v>
      </c>
      <c r="D26" s="10">
        <v>0</v>
      </c>
      <c r="E26" s="27">
        <v>0</v>
      </c>
      <c r="F26" s="10">
        <v>0</v>
      </c>
      <c r="G26" s="32">
        <v>0</v>
      </c>
      <c r="H26" s="10">
        <v>0</v>
      </c>
      <c r="I26" s="32">
        <v>0</v>
      </c>
      <c r="J26" s="10">
        <v>0</v>
      </c>
      <c r="K26" s="10">
        <v>0</v>
      </c>
      <c r="L26" s="41">
        <v>0</v>
      </c>
      <c r="M26" s="27">
        <v>0</v>
      </c>
      <c r="N26" s="10">
        <v>0</v>
      </c>
      <c r="O26" s="10">
        <v>0</v>
      </c>
      <c r="P26" s="27">
        <v>0</v>
      </c>
      <c r="Q26" s="10">
        <v>0</v>
      </c>
      <c r="R26" s="10">
        <v>0</v>
      </c>
      <c r="S26" s="10">
        <v>0</v>
      </c>
      <c r="T26" s="10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10">
        <v>0</v>
      </c>
      <c r="C27" s="10">
        <v>0</v>
      </c>
      <c r="D27" s="10">
        <v>0</v>
      </c>
      <c r="E27" s="27">
        <v>0</v>
      </c>
      <c r="F27" s="10">
        <v>0</v>
      </c>
      <c r="G27" s="32">
        <v>0</v>
      </c>
      <c r="H27" s="10">
        <v>0</v>
      </c>
      <c r="I27" s="32">
        <v>0</v>
      </c>
      <c r="J27" s="10">
        <v>0</v>
      </c>
      <c r="K27" s="10">
        <v>0</v>
      </c>
      <c r="L27" s="41">
        <v>0</v>
      </c>
      <c r="M27" s="27">
        <v>0</v>
      </c>
      <c r="N27" s="10">
        <v>0</v>
      </c>
      <c r="O27" s="10">
        <v>0</v>
      </c>
      <c r="P27" s="27">
        <v>0</v>
      </c>
      <c r="Q27" s="10">
        <v>0</v>
      </c>
      <c r="R27" s="10">
        <v>0</v>
      </c>
      <c r="S27" s="10">
        <v>0</v>
      </c>
      <c r="T27" s="10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10">
        <v>0</v>
      </c>
      <c r="C28" s="10">
        <v>0</v>
      </c>
      <c r="D28" s="10">
        <v>0</v>
      </c>
      <c r="E28" s="27">
        <v>0</v>
      </c>
      <c r="F28" s="10">
        <v>0</v>
      </c>
      <c r="G28" s="32">
        <v>0</v>
      </c>
      <c r="H28" s="10">
        <v>0</v>
      </c>
      <c r="I28" s="32">
        <v>0</v>
      </c>
      <c r="J28" s="10">
        <v>0</v>
      </c>
      <c r="K28" s="10">
        <v>0</v>
      </c>
      <c r="L28" s="41">
        <v>0</v>
      </c>
      <c r="M28" s="27">
        <v>0</v>
      </c>
      <c r="N28" s="10">
        <v>0</v>
      </c>
      <c r="O28" s="10">
        <v>0</v>
      </c>
      <c r="P28" s="27">
        <v>0</v>
      </c>
      <c r="Q28" s="10">
        <v>0</v>
      </c>
      <c r="R28" s="10">
        <v>0</v>
      </c>
      <c r="S28" s="10">
        <v>0</v>
      </c>
      <c r="T28" s="10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10">
        <v>2669</v>
      </c>
      <c r="C31" s="10">
        <v>2804</v>
      </c>
      <c r="D31" s="51">
        <v>1642</v>
      </c>
      <c r="E31" s="10">
        <v>15995</v>
      </c>
      <c r="F31" s="10">
        <v>536</v>
      </c>
      <c r="G31" s="10">
        <v>413</v>
      </c>
      <c r="H31" s="10">
        <v>5918</v>
      </c>
      <c r="I31" s="10">
        <v>1135</v>
      </c>
      <c r="J31" s="10">
        <v>4859</v>
      </c>
      <c r="K31" s="10">
        <v>0</v>
      </c>
      <c r="L31" s="10">
        <v>315</v>
      </c>
      <c r="M31" s="28">
        <v>832</v>
      </c>
      <c r="N31" s="10">
        <v>5275</v>
      </c>
      <c r="O31" s="10">
        <v>4595</v>
      </c>
      <c r="P31" s="10">
        <v>141</v>
      </c>
      <c r="Q31" s="10">
        <v>7489</v>
      </c>
      <c r="R31" s="10">
        <v>6087</v>
      </c>
      <c r="S31" s="10">
        <v>8993</v>
      </c>
      <c r="T31" s="10">
        <v>3600</v>
      </c>
      <c r="U31" s="10">
        <v>9232</v>
      </c>
      <c r="V31" s="28">
        <v>3056</v>
      </c>
      <c r="W31" s="27">
        <v>17998</v>
      </c>
      <c r="X31" s="52">
        <v>1971</v>
      </c>
      <c r="Y31" s="52">
        <v>10781</v>
      </c>
      <c r="Z31" s="53">
        <v>19641</v>
      </c>
      <c r="AA31" s="54"/>
    </row>
    <row r="32" spans="1:27" x14ac:dyDescent="0.25">
      <c r="A32" s="5" t="s">
        <v>47</v>
      </c>
      <c r="B32" s="10">
        <v>50</v>
      </c>
      <c r="C32" s="10">
        <v>0</v>
      </c>
      <c r="D32" s="55">
        <v>0</v>
      </c>
      <c r="E32" s="55">
        <v>0</v>
      </c>
      <c r="F32" s="10">
        <v>2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28">
        <v>1</v>
      </c>
      <c r="N32" s="10">
        <v>0</v>
      </c>
      <c r="O32" s="10">
        <v>61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10">
        <v>0</v>
      </c>
      <c r="C33" s="10">
        <v>0</v>
      </c>
      <c r="D33" s="10">
        <v>0</v>
      </c>
      <c r="E33" s="32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28">
        <v>0</v>
      </c>
      <c r="N33" s="10">
        <v>0</v>
      </c>
      <c r="O33" s="32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10">
        <v>2619</v>
      </c>
      <c r="C34" s="28">
        <v>2804</v>
      </c>
      <c r="D34" s="10">
        <v>1642</v>
      </c>
      <c r="E34" s="10">
        <v>15995</v>
      </c>
      <c r="F34" s="10">
        <v>534</v>
      </c>
      <c r="G34" s="10">
        <v>413</v>
      </c>
      <c r="H34" s="10">
        <v>5918</v>
      </c>
      <c r="I34" s="10">
        <v>1135</v>
      </c>
      <c r="J34" s="10">
        <v>4859</v>
      </c>
      <c r="K34" s="10">
        <f>K31-K32-K33</f>
        <v>0</v>
      </c>
      <c r="L34" s="10">
        <v>315</v>
      </c>
      <c r="M34" s="28">
        <v>831</v>
      </c>
      <c r="N34" s="10">
        <v>5275</v>
      </c>
      <c r="O34" s="10">
        <v>4534</v>
      </c>
      <c r="P34" s="10">
        <v>141</v>
      </c>
      <c r="Q34" s="10">
        <f>Q31-Q32-Q33</f>
        <v>7489</v>
      </c>
      <c r="R34" s="10">
        <f>R31-R32-R33</f>
        <v>6087</v>
      </c>
      <c r="S34" s="10">
        <f>S31-S32-S33</f>
        <v>8993</v>
      </c>
      <c r="T34" s="10">
        <f>T31-T32-T33</f>
        <v>3600</v>
      </c>
      <c r="U34" s="10">
        <v>9232</v>
      </c>
      <c r="V34" s="28">
        <v>3056</v>
      </c>
      <c r="W34" s="10">
        <f>W31-W32-W33</f>
        <v>17998</v>
      </c>
      <c r="X34" s="52">
        <v>1971</v>
      </c>
      <c r="Y34" s="52">
        <v>10781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316732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1443716.26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745126.44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7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603181.04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61" t="s">
        <v>99</v>
      </c>
      <c r="E43" s="253" t="s">
        <v>100</v>
      </c>
      <c r="F43" s="253"/>
      <c r="G43" s="253"/>
      <c r="H43" s="62" t="s">
        <v>99</v>
      </c>
      <c r="I43" s="61" t="s">
        <v>121</v>
      </c>
      <c r="J43" s="254" t="s">
        <v>102</v>
      </c>
      <c r="K43" s="255"/>
      <c r="L43" s="255"/>
      <c r="M43" s="255"/>
      <c r="N43" s="256"/>
      <c r="O43" s="63" t="s">
        <v>98</v>
      </c>
      <c r="P43" s="61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78463</v>
      </c>
      <c r="C44" s="65">
        <v>78504</v>
      </c>
      <c r="D44" s="64">
        <v>2600</v>
      </c>
      <c r="E44" s="66">
        <v>78457</v>
      </c>
      <c r="F44" s="257">
        <v>78462</v>
      </c>
      <c r="G44" s="257"/>
      <c r="H44" s="67">
        <v>50</v>
      </c>
      <c r="I44" s="68">
        <v>150</v>
      </c>
      <c r="J44" s="248" t="s">
        <v>104</v>
      </c>
      <c r="K44" s="248"/>
      <c r="L44" s="248"/>
      <c r="M44" s="248"/>
      <c r="N44" s="248"/>
      <c r="O44" s="69">
        <v>150</v>
      </c>
      <c r="P44" s="63">
        <v>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7" t="s">
        <v>107</v>
      </c>
      <c r="E50" s="242">
        <v>54616</v>
      </c>
      <c r="F50" s="243"/>
      <c r="G50" s="243"/>
      <c r="H50" s="244"/>
      <c r="I50" s="1"/>
      <c r="J50" s="211" t="s">
        <v>108</v>
      </c>
      <c r="K50" s="211"/>
      <c r="L50" s="212"/>
      <c r="M50" s="218">
        <v>28493779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7" t="s">
        <v>109</v>
      </c>
      <c r="E51" s="242">
        <v>235154</v>
      </c>
      <c r="F51" s="243"/>
      <c r="G51" s="243"/>
      <c r="H51" s="244"/>
      <c r="I51" s="1"/>
      <c r="J51" s="211" t="s">
        <v>110</v>
      </c>
      <c r="K51" s="211"/>
      <c r="L51" s="212"/>
      <c r="M51" s="218">
        <v>457714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289770</v>
      </c>
      <c r="F52" s="249"/>
      <c r="G52" s="249"/>
      <c r="H52" s="249"/>
      <c r="I52" s="1"/>
      <c r="J52" s="211" t="s">
        <v>112</v>
      </c>
      <c r="K52" s="211"/>
      <c r="L52" s="212"/>
      <c r="M52" s="250">
        <v>235154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275244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1261339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27995975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27995975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9"/>
  <sheetViews>
    <sheetView workbookViewId="0">
      <selection activeCell="A28" sqref="A28"/>
    </sheetView>
  </sheetViews>
  <sheetFormatPr defaultRowHeight="15" x14ac:dyDescent="0.25"/>
  <cols>
    <col min="1" max="1" width="17.42578125" bestFit="1" customWidth="1"/>
    <col min="2" max="2" width="8.5703125" customWidth="1"/>
    <col min="3" max="4" width="10" customWidth="1"/>
    <col min="7" max="7" width="9.140625" customWidth="1"/>
    <col min="8" max="8" width="14.5703125" customWidth="1"/>
    <col min="10" max="11" width="9.85546875" customWidth="1"/>
    <col min="15" max="15" width="17.5703125" customWidth="1"/>
    <col min="16" max="16" width="15.5703125" customWidth="1"/>
    <col min="22" max="22" width="11.5703125" customWidth="1"/>
    <col min="23" max="23" width="12.85546875" customWidth="1"/>
  </cols>
  <sheetData>
    <row r="1" spans="1:24" x14ac:dyDescent="0.25">
      <c r="J1" s="290" t="s">
        <v>0</v>
      </c>
      <c r="K1" s="290"/>
    </row>
    <row r="2" spans="1:24" ht="24" x14ac:dyDescent="0.25">
      <c r="A2" s="297" t="s">
        <v>1</v>
      </c>
      <c r="B2" s="298"/>
      <c r="C2" s="298"/>
      <c r="D2" s="298"/>
      <c r="E2" s="298"/>
      <c r="F2" s="298"/>
      <c r="G2" s="299"/>
      <c r="H2" s="299"/>
      <c r="I2" s="298"/>
      <c r="J2" s="298"/>
      <c r="K2" s="298"/>
      <c r="L2" s="298"/>
      <c r="M2" s="298"/>
      <c r="N2" s="298"/>
      <c r="O2" s="298"/>
      <c r="P2" s="300"/>
      <c r="Q2" s="1"/>
      <c r="R2" s="1"/>
      <c r="S2" s="1"/>
      <c r="T2" s="1"/>
      <c r="U2" s="1"/>
      <c r="V2" s="1"/>
      <c r="W2" s="1"/>
      <c r="X2" s="1"/>
    </row>
    <row r="3" spans="1:24" x14ac:dyDescent="0.25">
      <c r="A3" s="301" t="s">
        <v>2</v>
      </c>
      <c r="B3" s="303" t="s">
        <v>3</v>
      </c>
      <c r="C3" s="304"/>
      <c r="D3" s="305"/>
      <c r="E3" s="2"/>
      <c r="F3" s="2"/>
      <c r="G3" s="3"/>
      <c r="H3" s="3"/>
      <c r="I3" s="2"/>
      <c r="J3" s="2"/>
      <c r="K3" s="2"/>
      <c r="L3" s="2"/>
      <c r="M3" s="309" t="s">
        <v>4</v>
      </c>
      <c r="N3" s="310"/>
      <c r="O3" s="309"/>
      <c r="P3" s="313"/>
      <c r="Q3" s="1"/>
      <c r="R3" s="1"/>
      <c r="S3" s="1"/>
      <c r="T3" s="1"/>
      <c r="U3" s="1"/>
      <c r="V3" s="1"/>
      <c r="W3" s="1"/>
      <c r="X3" s="1"/>
    </row>
    <row r="4" spans="1:24" x14ac:dyDescent="0.25">
      <c r="A4" s="302"/>
      <c r="B4" s="306"/>
      <c r="C4" s="307"/>
      <c r="D4" s="308"/>
      <c r="E4" s="2"/>
      <c r="F4" s="2"/>
      <c r="G4" s="4"/>
      <c r="H4" s="4"/>
      <c r="I4" s="2"/>
      <c r="J4" s="2"/>
      <c r="K4" s="2"/>
      <c r="L4" s="2"/>
      <c r="M4" s="311"/>
      <c r="N4" s="312"/>
      <c r="O4" s="311"/>
      <c r="P4" s="314"/>
      <c r="Q4" s="1"/>
      <c r="R4" s="1"/>
      <c r="S4" s="1"/>
      <c r="T4" s="1"/>
      <c r="U4" s="1"/>
      <c r="V4" s="1"/>
      <c r="W4" s="1"/>
      <c r="X4" s="1"/>
    </row>
    <row r="5" spans="1:24" x14ac:dyDescent="0.25">
      <c r="A5" s="292" t="s">
        <v>5</v>
      </c>
      <c r="B5" s="240"/>
      <c r="C5" s="240"/>
      <c r="D5" s="241"/>
      <c r="E5" s="5"/>
      <c r="F5" s="5"/>
      <c r="G5" s="4"/>
      <c r="H5" s="4"/>
      <c r="I5" s="6" t="s">
        <v>6</v>
      </c>
      <c r="J5" s="7"/>
      <c r="K5" s="7"/>
      <c r="L5" s="7"/>
      <c r="M5" s="293">
        <v>0.124</v>
      </c>
      <c r="N5" s="294"/>
      <c r="O5" s="295"/>
      <c r="P5" s="296"/>
      <c r="Q5" s="1"/>
      <c r="R5" s="1"/>
      <c r="S5" s="1"/>
      <c r="T5" s="1"/>
      <c r="U5" s="1"/>
      <c r="V5" s="1"/>
      <c r="W5" s="1"/>
      <c r="X5" s="1"/>
    </row>
    <row r="6" spans="1:24" x14ac:dyDescent="0.25">
      <c r="A6" s="275" t="s">
        <v>7</v>
      </c>
      <c r="B6" s="276"/>
      <c r="C6" s="277"/>
      <c r="D6" s="8" t="s">
        <v>8</v>
      </c>
      <c r="E6" s="9"/>
      <c r="F6" s="9"/>
      <c r="G6" s="4"/>
      <c r="H6" s="4"/>
      <c r="I6" s="278" t="s">
        <v>9</v>
      </c>
      <c r="J6" s="278"/>
      <c r="K6" s="278"/>
      <c r="L6" s="278"/>
      <c r="M6" s="278" t="s">
        <v>10</v>
      </c>
      <c r="N6" s="278"/>
      <c r="O6" s="278" t="s">
        <v>11</v>
      </c>
      <c r="P6" s="278"/>
      <c r="Q6" s="1"/>
      <c r="R6" s="1"/>
      <c r="S6" s="1"/>
      <c r="T6" s="1"/>
      <c r="U6" s="1"/>
      <c r="V6" s="1"/>
      <c r="W6" s="1"/>
      <c r="X6" s="1"/>
    </row>
    <row r="7" spans="1:24" x14ac:dyDescent="0.25">
      <c r="A7" s="275" t="s">
        <v>12</v>
      </c>
      <c r="B7" s="276"/>
      <c r="C7" s="276"/>
      <c r="D7" s="10">
        <v>21255</v>
      </c>
      <c r="E7" s="11"/>
      <c r="G7" s="12"/>
      <c r="H7" s="13"/>
      <c r="I7" s="278" t="s">
        <v>13</v>
      </c>
      <c r="J7" s="278"/>
      <c r="K7" s="278"/>
      <c r="L7" s="278"/>
      <c r="M7" s="290">
        <v>650</v>
      </c>
      <c r="N7" s="290"/>
      <c r="O7" s="291">
        <v>3.7100000000000001E-2</v>
      </c>
      <c r="P7" s="291"/>
      <c r="Q7" s="14"/>
      <c r="R7" s="14"/>
      <c r="S7" s="14"/>
      <c r="T7" s="1"/>
      <c r="U7" s="1"/>
      <c r="V7" s="1"/>
      <c r="W7" s="1"/>
      <c r="X7" s="1"/>
    </row>
    <row r="8" spans="1:24" x14ac:dyDescent="0.25">
      <c r="A8" s="275" t="s">
        <v>14</v>
      </c>
      <c r="B8" s="276"/>
      <c r="C8" s="277"/>
      <c r="D8" s="15">
        <v>0</v>
      </c>
      <c r="E8" s="5"/>
      <c r="G8" s="13"/>
      <c r="H8" s="13" t="s">
        <v>0</v>
      </c>
      <c r="I8" s="278" t="s">
        <v>15</v>
      </c>
      <c r="J8" s="278"/>
      <c r="K8" s="278"/>
      <c r="L8" s="278"/>
      <c r="M8" s="290">
        <v>250</v>
      </c>
      <c r="N8" s="290"/>
      <c r="O8" s="291">
        <v>1.4200000000000001E-2</v>
      </c>
      <c r="P8" s="291"/>
      <c r="Q8" s="14"/>
      <c r="R8" s="14"/>
      <c r="S8" s="14"/>
      <c r="T8" s="1"/>
      <c r="U8" s="1"/>
      <c r="V8" s="1"/>
      <c r="W8" s="1"/>
      <c r="X8" s="1"/>
    </row>
    <row r="9" spans="1:24" x14ac:dyDescent="0.25">
      <c r="A9" s="275" t="s">
        <v>16</v>
      </c>
      <c r="B9" s="276"/>
      <c r="C9" s="277"/>
      <c r="D9" s="15">
        <v>0</v>
      </c>
      <c r="E9" s="5"/>
      <c r="F9" s="5"/>
      <c r="G9" s="13"/>
      <c r="H9" s="13"/>
      <c r="I9" s="290"/>
      <c r="J9" s="290"/>
      <c r="K9" s="290"/>
      <c r="L9" s="290"/>
      <c r="M9" s="290"/>
      <c r="N9" s="290"/>
      <c r="O9" s="287" t="s">
        <v>0</v>
      </c>
      <c r="P9" s="289"/>
      <c r="Q9" s="14"/>
      <c r="R9" s="14"/>
      <c r="S9" s="1"/>
      <c r="T9" s="1"/>
      <c r="U9" s="1"/>
      <c r="V9" s="1"/>
      <c r="W9" s="1"/>
      <c r="X9" s="1"/>
    </row>
    <row r="10" spans="1:24" x14ac:dyDescent="0.25">
      <c r="A10" s="275" t="s">
        <v>17</v>
      </c>
      <c r="B10" s="276"/>
      <c r="C10" s="277"/>
      <c r="D10" s="15">
        <v>0</v>
      </c>
      <c r="E10" s="5"/>
      <c r="F10" s="5"/>
      <c r="G10" s="13"/>
      <c r="H10" s="13"/>
      <c r="I10" s="290"/>
      <c r="J10" s="290"/>
      <c r="K10" s="290"/>
      <c r="L10" s="290"/>
      <c r="M10" s="278"/>
      <c r="N10" s="278"/>
      <c r="O10" s="278"/>
      <c r="P10" s="278"/>
      <c r="Q10" s="1"/>
      <c r="R10" s="5"/>
      <c r="S10" s="1"/>
      <c r="T10" s="1"/>
      <c r="U10" s="1"/>
      <c r="V10" s="1"/>
      <c r="W10" s="1"/>
      <c r="X10" s="1"/>
    </row>
    <row r="11" spans="1:24" x14ac:dyDescent="0.25">
      <c r="A11" s="275" t="s">
        <v>18</v>
      </c>
      <c r="B11" s="276"/>
      <c r="C11" s="277"/>
      <c r="D11" s="15">
        <v>221</v>
      </c>
      <c r="E11" s="5"/>
      <c r="F11" s="5"/>
      <c r="H11" s="5"/>
      <c r="I11" s="278"/>
      <c r="J11" s="278"/>
      <c r="K11" s="278"/>
      <c r="L11" s="278"/>
      <c r="M11" s="278"/>
      <c r="N11" s="278"/>
      <c r="O11" s="278"/>
      <c r="P11" s="278"/>
      <c r="Q11" s="1"/>
      <c r="S11" s="1"/>
      <c r="T11" s="1"/>
      <c r="U11" s="1"/>
      <c r="V11" s="1"/>
      <c r="W11" s="1"/>
      <c r="X11" s="1"/>
    </row>
    <row r="12" spans="1:24" x14ac:dyDescent="0.25">
      <c r="A12" s="275" t="s">
        <v>19</v>
      </c>
      <c r="B12" s="276"/>
      <c r="C12" s="277"/>
      <c r="D12" s="15">
        <v>0</v>
      </c>
      <c r="E12" s="5"/>
      <c r="G12" s="5"/>
      <c r="H12" s="5"/>
      <c r="I12" s="290"/>
      <c r="J12" s="290"/>
      <c r="K12" s="290"/>
      <c r="L12" s="290"/>
      <c r="M12" s="278"/>
      <c r="N12" s="278"/>
      <c r="O12" s="278"/>
      <c r="P12" s="278"/>
      <c r="Q12" s="1"/>
      <c r="T12" s="1"/>
      <c r="U12" s="1"/>
      <c r="V12" s="1"/>
      <c r="W12" s="1"/>
      <c r="X12" s="1"/>
    </row>
    <row r="13" spans="1:24" x14ac:dyDescent="0.25">
      <c r="A13" s="275" t="s">
        <v>20</v>
      </c>
      <c r="B13" s="276"/>
      <c r="C13" s="277"/>
      <c r="D13" s="15">
        <v>263</v>
      </c>
      <c r="E13" s="5"/>
      <c r="G13" s="5"/>
      <c r="H13" s="5"/>
      <c r="I13" s="287"/>
      <c r="J13" s="288"/>
      <c r="K13" s="288"/>
      <c r="L13" s="289"/>
      <c r="M13" s="278"/>
      <c r="N13" s="278"/>
      <c r="O13" s="278"/>
      <c r="P13" s="278"/>
      <c r="Q13" s="1"/>
      <c r="T13" s="1"/>
      <c r="V13" s="1"/>
      <c r="W13" s="1"/>
      <c r="X13" s="1"/>
    </row>
    <row r="14" spans="1:24" x14ac:dyDescent="0.25">
      <c r="A14" s="275" t="s">
        <v>21</v>
      </c>
      <c r="B14" s="276"/>
      <c r="C14" s="277"/>
      <c r="D14" s="16">
        <v>0</v>
      </c>
      <c r="E14" s="5"/>
      <c r="F14" s="5"/>
      <c r="G14" s="5"/>
      <c r="H14" s="5"/>
      <c r="I14" s="278"/>
      <c r="J14" s="278"/>
      <c r="K14" s="278"/>
      <c r="L14" s="278"/>
      <c r="M14" s="278"/>
      <c r="N14" s="278"/>
      <c r="O14" s="278"/>
      <c r="P14" s="278"/>
      <c r="Q14" s="1"/>
      <c r="R14" s="1"/>
      <c r="V14" s="1"/>
      <c r="W14" s="1"/>
      <c r="X14" s="1"/>
    </row>
    <row r="15" spans="1:24" x14ac:dyDescent="0.25">
      <c r="A15" s="275" t="s">
        <v>22</v>
      </c>
      <c r="B15" s="276"/>
      <c r="C15" s="277"/>
      <c r="D15" s="16">
        <v>0</v>
      </c>
      <c r="E15" s="5"/>
      <c r="F15" s="5"/>
      <c r="G15" s="5"/>
      <c r="H15" s="5"/>
      <c r="I15" s="278"/>
      <c r="J15" s="278"/>
      <c r="K15" s="278"/>
      <c r="L15" s="278"/>
      <c r="M15" s="278"/>
      <c r="N15" s="278"/>
      <c r="O15" s="278"/>
      <c r="P15" s="278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276"/>
      <c r="B16" s="276"/>
      <c r="C16" s="276"/>
      <c r="D16" s="5"/>
      <c r="E16" s="1"/>
      <c r="F16" s="5"/>
      <c r="G16" s="5"/>
      <c r="H16" s="5"/>
      <c r="I16" s="279"/>
      <c r="J16" s="279"/>
      <c r="K16" s="279"/>
      <c r="L16" s="17"/>
      <c r="M16" s="279"/>
      <c r="N16" s="279"/>
      <c r="O16" s="280"/>
      <c r="P16" s="280"/>
      <c r="Q16" s="1"/>
      <c r="R16" s="1"/>
      <c r="S16" s="1"/>
      <c r="T16" s="1"/>
      <c r="U16" s="1"/>
      <c r="V16" s="1"/>
      <c r="W16" s="1"/>
      <c r="X16" s="1"/>
    </row>
    <row r="17" spans="1:27" x14ac:dyDescent="0.25">
      <c r="A17" s="281" t="s">
        <v>23</v>
      </c>
      <c r="B17" s="282"/>
      <c r="C17" s="282"/>
      <c r="D17" s="282"/>
      <c r="E17" s="282"/>
      <c r="F17" s="282"/>
      <c r="G17" s="282"/>
      <c r="H17" s="283"/>
      <c r="I17" s="5"/>
      <c r="J17" s="5"/>
      <c r="K17" s="5"/>
      <c r="L17" s="5"/>
      <c r="M17" s="284"/>
      <c r="N17" s="284"/>
      <c r="O17" s="284"/>
      <c r="P17" s="284"/>
      <c r="Q17" s="1"/>
      <c r="R17" s="1"/>
      <c r="S17" s="1"/>
      <c r="T17" s="1"/>
      <c r="U17" s="1"/>
      <c r="V17" s="1"/>
      <c r="W17" s="1"/>
      <c r="X17" s="1"/>
    </row>
    <row r="18" spans="1:27" s="24" customFormat="1" ht="60" x14ac:dyDescent="0.25">
      <c r="A18" s="18"/>
      <c r="B18" s="19" t="s">
        <v>24</v>
      </c>
      <c r="C18" s="19" t="s">
        <v>25</v>
      </c>
      <c r="D18" s="19" t="s">
        <v>26</v>
      </c>
      <c r="E18" s="19" t="s">
        <v>27</v>
      </c>
      <c r="F18" s="19" t="s">
        <v>28</v>
      </c>
      <c r="G18" s="20" t="s">
        <v>29</v>
      </c>
      <c r="H18" s="19" t="s">
        <v>30</v>
      </c>
      <c r="I18" s="21" t="s">
        <v>31</v>
      </c>
      <c r="J18" s="19" t="s">
        <v>32</v>
      </c>
      <c r="K18" s="19" t="s">
        <v>33</v>
      </c>
      <c r="L18" s="22" t="s">
        <v>34</v>
      </c>
      <c r="M18" s="19" t="s">
        <v>35</v>
      </c>
      <c r="N18" s="19" t="s">
        <v>36</v>
      </c>
      <c r="O18" s="21" t="s">
        <v>37</v>
      </c>
      <c r="P18" s="21" t="s">
        <v>38</v>
      </c>
      <c r="Q18" s="21" t="s">
        <v>39</v>
      </c>
      <c r="R18" s="21" t="s">
        <v>40</v>
      </c>
      <c r="S18" s="21" t="s">
        <v>41</v>
      </c>
      <c r="T18" s="21" t="s">
        <v>42</v>
      </c>
      <c r="U18" s="21" t="s">
        <v>43</v>
      </c>
      <c r="V18" s="19" t="s">
        <v>44</v>
      </c>
      <c r="W18" s="23" t="s">
        <v>45</v>
      </c>
    </row>
    <row r="19" spans="1:27" s="31" customFormat="1" ht="12.75" x14ac:dyDescent="0.2">
      <c r="A19" s="25" t="s">
        <v>46</v>
      </c>
      <c r="B19" s="10">
        <v>203</v>
      </c>
      <c r="C19" s="10">
        <v>103</v>
      </c>
      <c r="D19" s="10">
        <v>1224</v>
      </c>
      <c r="E19" s="10">
        <v>0</v>
      </c>
      <c r="F19" s="10">
        <v>0</v>
      </c>
      <c r="G19" s="26">
        <v>0</v>
      </c>
      <c r="H19" s="10">
        <v>0</v>
      </c>
      <c r="I19" s="10">
        <v>0</v>
      </c>
      <c r="J19" s="27">
        <v>0</v>
      </c>
      <c r="K19" s="28">
        <v>0</v>
      </c>
      <c r="L19" s="28">
        <v>0</v>
      </c>
      <c r="M19" s="10">
        <v>0</v>
      </c>
      <c r="N19" s="28">
        <v>0</v>
      </c>
      <c r="O19" s="29">
        <v>2884</v>
      </c>
      <c r="P19" s="28">
        <v>2480</v>
      </c>
      <c r="Q19" s="28">
        <v>38</v>
      </c>
      <c r="R19" s="28">
        <v>40</v>
      </c>
      <c r="S19" s="10">
        <v>9855</v>
      </c>
      <c r="T19" s="10">
        <v>500</v>
      </c>
      <c r="U19" s="30">
        <v>680</v>
      </c>
      <c r="V19" s="30">
        <v>1356</v>
      </c>
      <c r="W19" s="29">
        <v>349</v>
      </c>
    </row>
    <row r="20" spans="1:27" s="31" customFormat="1" ht="12.75" x14ac:dyDescent="0.2">
      <c r="A20" s="5" t="s">
        <v>47</v>
      </c>
      <c r="B20" s="10">
        <v>79</v>
      </c>
      <c r="C20" s="10">
        <v>50</v>
      </c>
      <c r="D20" s="10">
        <v>700</v>
      </c>
      <c r="E20" s="10">
        <v>1100</v>
      </c>
      <c r="F20" s="10">
        <v>0</v>
      </c>
      <c r="G20" s="26">
        <v>0</v>
      </c>
      <c r="H20" s="10">
        <v>0</v>
      </c>
      <c r="I20" s="10">
        <v>0</v>
      </c>
      <c r="J20" s="27">
        <v>0</v>
      </c>
      <c r="K20" s="28">
        <v>0</v>
      </c>
      <c r="L20" s="28">
        <v>0</v>
      </c>
      <c r="M20" s="10">
        <v>0</v>
      </c>
      <c r="N20" s="28">
        <v>0</v>
      </c>
      <c r="O20" s="29">
        <v>0</v>
      </c>
      <c r="P20" s="28">
        <v>0</v>
      </c>
      <c r="Q20" s="28">
        <v>0</v>
      </c>
      <c r="R20" s="10">
        <v>0</v>
      </c>
      <c r="S20" s="10">
        <v>0</v>
      </c>
      <c r="T20" s="28">
        <v>0</v>
      </c>
      <c r="U20" s="28">
        <v>0</v>
      </c>
      <c r="V20" s="10">
        <v>0</v>
      </c>
      <c r="W20" s="29">
        <v>0</v>
      </c>
    </row>
    <row r="21" spans="1:27" s="31" customFormat="1" ht="12.75" x14ac:dyDescent="0.2">
      <c r="A21" s="5" t="s">
        <v>48</v>
      </c>
      <c r="B21" s="10">
        <v>174</v>
      </c>
      <c r="C21" s="10">
        <v>70</v>
      </c>
      <c r="D21" s="10">
        <v>491</v>
      </c>
      <c r="E21" s="10">
        <v>440</v>
      </c>
      <c r="F21" s="10">
        <v>0</v>
      </c>
      <c r="G21" s="26">
        <v>0</v>
      </c>
      <c r="H21" s="10">
        <v>0</v>
      </c>
      <c r="I21" s="10">
        <v>0</v>
      </c>
      <c r="J21" s="27">
        <v>0</v>
      </c>
      <c r="K21" s="28">
        <v>0</v>
      </c>
      <c r="L21" s="28">
        <v>0</v>
      </c>
      <c r="M21" s="10">
        <v>0</v>
      </c>
      <c r="N21" s="28">
        <v>0</v>
      </c>
      <c r="O21" s="29">
        <v>0</v>
      </c>
      <c r="P21" s="28">
        <v>0</v>
      </c>
      <c r="Q21" s="28">
        <v>0</v>
      </c>
      <c r="R21" s="10">
        <v>0</v>
      </c>
      <c r="S21" s="10">
        <v>0</v>
      </c>
      <c r="T21" s="28">
        <v>0</v>
      </c>
      <c r="U21" s="28">
        <v>0</v>
      </c>
      <c r="V21" s="10">
        <v>0</v>
      </c>
      <c r="W21" s="29">
        <v>0</v>
      </c>
    </row>
    <row r="22" spans="1:27" s="31" customFormat="1" ht="12.75" x14ac:dyDescent="0.2">
      <c r="A22" s="25" t="s">
        <v>49</v>
      </c>
      <c r="B22" s="10">
        <v>108</v>
      </c>
      <c r="C22" s="10">
        <v>83</v>
      </c>
      <c r="D22" s="10">
        <v>1433</v>
      </c>
      <c r="E22" s="32" t="s">
        <v>50</v>
      </c>
      <c r="F22" s="10">
        <v>0</v>
      </c>
      <c r="G22" s="26">
        <v>0</v>
      </c>
      <c r="H22" s="10">
        <v>0</v>
      </c>
      <c r="I22" s="10">
        <v>0</v>
      </c>
      <c r="J22" s="27">
        <v>0</v>
      </c>
      <c r="K22" s="28">
        <v>0</v>
      </c>
      <c r="L22" s="28">
        <v>0</v>
      </c>
      <c r="M22" s="10">
        <v>0</v>
      </c>
      <c r="N22" s="10">
        <v>0</v>
      </c>
      <c r="O22" s="10">
        <v>2884</v>
      </c>
      <c r="P22" s="10">
        <v>2480</v>
      </c>
      <c r="Q22" s="10">
        <v>38</v>
      </c>
      <c r="R22" s="10">
        <v>40</v>
      </c>
      <c r="S22" s="10">
        <v>9855</v>
      </c>
      <c r="T22" s="10">
        <v>500</v>
      </c>
      <c r="U22" s="10">
        <v>680</v>
      </c>
      <c r="V22" s="10">
        <v>1356</v>
      </c>
      <c r="W22" s="29">
        <v>349</v>
      </c>
    </row>
    <row r="23" spans="1:27" x14ac:dyDescent="0.25">
      <c r="A23" s="281"/>
      <c r="B23" s="285"/>
      <c r="C23" s="285"/>
      <c r="D23" s="285"/>
      <c r="E23" s="285"/>
      <c r="F23" s="285"/>
      <c r="G23" s="285"/>
      <c r="H23" s="286"/>
      <c r="I23" s="17"/>
      <c r="J23" s="17"/>
      <c r="K23" s="17"/>
      <c r="L23" s="17"/>
      <c r="M23" s="17"/>
      <c r="N23" s="17"/>
      <c r="O23" s="17"/>
      <c r="P23" s="17"/>
      <c r="Q23" s="33"/>
      <c r="R23" s="33"/>
      <c r="S23" s="17"/>
      <c r="T23" s="33"/>
      <c r="U23" s="12"/>
      <c r="V23" s="33"/>
      <c r="W23" s="34"/>
      <c r="X23" s="1"/>
    </row>
    <row r="24" spans="1:27" s="24" customFormat="1" ht="45" x14ac:dyDescent="0.25">
      <c r="A24" s="18"/>
      <c r="B24" s="35" t="s">
        <v>51</v>
      </c>
      <c r="C24" s="36" t="s">
        <v>52</v>
      </c>
      <c r="D24" s="37" t="s">
        <v>53</v>
      </c>
      <c r="E24" s="37" t="s">
        <v>54</v>
      </c>
      <c r="F24" s="37" t="s">
        <v>55</v>
      </c>
      <c r="G24" s="37" t="s">
        <v>56</v>
      </c>
      <c r="H24" s="37" t="s">
        <v>57</v>
      </c>
      <c r="I24" s="38" t="s">
        <v>58</v>
      </c>
      <c r="J24" s="38" t="s">
        <v>59</v>
      </c>
      <c r="K24" s="38" t="s">
        <v>60</v>
      </c>
      <c r="L24" s="38" t="s">
        <v>61</v>
      </c>
      <c r="M24" s="39" t="s">
        <v>62</v>
      </c>
      <c r="N24" s="38" t="s">
        <v>63</v>
      </c>
      <c r="O24" s="38" t="s">
        <v>64</v>
      </c>
      <c r="P24" s="21" t="s">
        <v>65</v>
      </c>
      <c r="Q24" s="21" t="s">
        <v>66</v>
      </c>
      <c r="R24" s="21" t="s">
        <v>67</v>
      </c>
      <c r="S24" s="19" t="s">
        <v>68</v>
      </c>
      <c r="T24" s="19" t="s">
        <v>69</v>
      </c>
      <c r="U24" s="21" t="s">
        <v>70</v>
      </c>
      <c r="V24" s="19" t="s">
        <v>71</v>
      </c>
      <c r="W24" s="40"/>
      <c r="X24" s="40"/>
      <c r="Y24" s="40"/>
    </row>
    <row r="25" spans="1:27" x14ac:dyDescent="0.25">
      <c r="A25" s="25" t="s">
        <v>46</v>
      </c>
      <c r="B25" s="10">
        <v>0</v>
      </c>
      <c r="C25" s="10">
        <v>0</v>
      </c>
      <c r="D25" s="10">
        <v>0</v>
      </c>
      <c r="E25" s="27">
        <v>0</v>
      </c>
      <c r="F25" s="10">
        <v>0</v>
      </c>
      <c r="G25" s="32">
        <v>0</v>
      </c>
      <c r="H25" s="10">
        <v>0</v>
      </c>
      <c r="I25" s="32">
        <v>0</v>
      </c>
      <c r="J25" s="10">
        <v>0</v>
      </c>
      <c r="K25" s="10">
        <v>0</v>
      </c>
      <c r="L25" s="41">
        <v>0</v>
      </c>
      <c r="M25" s="27">
        <v>0</v>
      </c>
      <c r="N25" s="10">
        <v>0</v>
      </c>
      <c r="O25" s="10">
        <v>0</v>
      </c>
      <c r="P25" s="27">
        <v>0</v>
      </c>
      <c r="Q25" s="10">
        <v>0</v>
      </c>
      <c r="R25" s="10">
        <v>0</v>
      </c>
      <c r="S25" s="10">
        <v>0</v>
      </c>
      <c r="T25" s="10">
        <v>0</v>
      </c>
      <c r="U25" s="41">
        <v>0</v>
      </c>
      <c r="V25" s="42">
        <v>0</v>
      </c>
      <c r="W25" s="12"/>
      <c r="X25" s="12"/>
      <c r="Y25" s="12"/>
    </row>
    <row r="26" spans="1:27" x14ac:dyDescent="0.25">
      <c r="A26" s="5" t="s">
        <v>47</v>
      </c>
      <c r="B26" s="10">
        <v>0</v>
      </c>
      <c r="C26" s="10">
        <v>0</v>
      </c>
      <c r="D26" s="10">
        <v>0</v>
      </c>
      <c r="E26" s="27">
        <v>0</v>
      </c>
      <c r="F26" s="10">
        <v>0</v>
      </c>
      <c r="G26" s="32">
        <v>0</v>
      </c>
      <c r="H26" s="10">
        <v>0</v>
      </c>
      <c r="I26" s="32">
        <v>0</v>
      </c>
      <c r="J26" s="10">
        <v>0</v>
      </c>
      <c r="K26" s="10">
        <v>0</v>
      </c>
      <c r="L26" s="41">
        <v>0</v>
      </c>
      <c r="M26" s="27">
        <v>0</v>
      </c>
      <c r="N26" s="10">
        <v>0</v>
      </c>
      <c r="O26" s="10">
        <v>0</v>
      </c>
      <c r="P26" s="27">
        <v>0</v>
      </c>
      <c r="Q26" s="10">
        <v>0</v>
      </c>
      <c r="R26" s="10">
        <v>0</v>
      </c>
      <c r="S26" s="10">
        <v>0</v>
      </c>
      <c r="T26" s="10">
        <v>0</v>
      </c>
      <c r="U26" s="41">
        <v>0</v>
      </c>
      <c r="V26" s="42">
        <v>0</v>
      </c>
      <c r="W26" s="43"/>
      <c r="X26" s="12"/>
      <c r="Y26" s="12"/>
    </row>
    <row r="27" spans="1:27" x14ac:dyDescent="0.25">
      <c r="A27" s="5" t="s">
        <v>72</v>
      </c>
      <c r="B27" s="10">
        <v>0</v>
      </c>
      <c r="C27" s="10">
        <v>0</v>
      </c>
      <c r="D27" s="10">
        <v>0</v>
      </c>
      <c r="E27" s="27">
        <v>0</v>
      </c>
      <c r="F27" s="10">
        <v>0</v>
      </c>
      <c r="G27" s="32">
        <v>0</v>
      </c>
      <c r="H27" s="10">
        <v>0</v>
      </c>
      <c r="I27" s="32">
        <v>0</v>
      </c>
      <c r="J27" s="10">
        <v>0</v>
      </c>
      <c r="K27" s="10">
        <v>0</v>
      </c>
      <c r="L27" s="41">
        <v>0</v>
      </c>
      <c r="M27" s="27">
        <v>0</v>
      </c>
      <c r="N27" s="10">
        <v>0</v>
      </c>
      <c r="O27" s="10">
        <v>0</v>
      </c>
      <c r="P27" s="27">
        <v>0</v>
      </c>
      <c r="Q27" s="10">
        <v>0</v>
      </c>
      <c r="R27" s="10">
        <v>0</v>
      </c>
      <c r="S27" s="10">
        <v>0</v>
      </c>
      <c r="T27" s="10">
        <v>0</v>
      </c>
      <c r="U27" s="41">
        <v>0</v>
      </c>
      <c r="V27" s="42">
        <v>0</v>
      </c>
      <c r="W27" s="12"/>
      <c r="X27" s="12"/>
      <c r="Y27" s="12"/>
    </row>
    <row r="28" spans="1:27" x14ac:dyDescent="0.25">
      <c r="A28" s="25" t="s">
        <v>49</v>
      </c>
      <c r="B28" s="10">
        <v>0</v>
      </c>
      <c r="C28" s="10">
        <v>0</v>
      </c>
      <c r="D28" s="10">
        <v>0</v>
      </c>
      <c r="E28" s="27">
        <v>0</v>
      </c>
      <c r="F28" s="10">
        <v>0</v>
      </c>
      <c r="G28" s="32">
        <v>0</v>
      </c>
      <c r="H28" s="10">
        <v>0</v>
      </c>
      <c r="I28" s="32">
        <v>0</v>
      </c>
      <c r="J28" s="10">
        <v>0</v>
      </c>
      <c r="K28" s="10">
        <v>0</v>
      </c>
      <c r="L28" s="41">
        <v>0</v>
      </c>
      <c r="M28" s="27">
        <v>0</v>
      </c>
      <c r="N28" s="10">
        <v>0</v>
      </c>
      <c r="O28" s="10">
        <v>0</v>
      </c>
      <c r="P28" s="27">
        <v>0</v>
      </c>
      <c r="Q28" s="10">
        <v>0</v>
      </c>
      <c r="R28" s="10">
        <v>0</v>
      </c>
      <c r="S28" s="10">
        <v>0</v>
      </c>
      <c r="T28" s="10">
        <v>0</v>
      </c>
      <c r="U28" s="41">
        <v>0</v>
      </c>
      <c r="V28" s="42">
        <v>0</v>
      </c>
      <c r="W28" s="12"/>
      <c r="X28" s="12"/>
      <c r="Y28" s="12"/>
    </row>
    <row r="29" spans="1:27" x14ac:dyDescent="0.25">
      <c r="A29" s="281" t="s">
        <v>73</v>
      </c>
      <c r="B29" s="285"/>
      <c r="C29" s="285"/>
      <c r="D29" s="285"/>
      <c r="E29" s="285"/>
      <c r="F29" s="285"/>
      <c r="G29" s="285"/>
      <c r="H29" s="286"/>
      <c r="I29" s="5"/>
      <c r="J29" s="5"/>
      <c r="K29" s="5"/>
      <c r="L29" s="5"/>
      <c r="M29" s="5"/>
      <c r="N29" s="5"/>
      <c r="O29" s="5"/>
      <c r="P29" s="5"/>
      <c r="Q29" s="1"/>
      <c r="R29" s="1"/>
      <c r="S29" s="1"/>
      <c r="T29" s="1"/>
      <c r="U29" s="1"/>
      <c r="V29" s="1"/>
      <c r="W29" s="1"/>
      <c r="X29" s="1"/>
    </row>
    <row r="30" spans="1:27" s="24" customFormat="1" ht="69.599999999999994" customHeight="1" x14ac:dyDescent="0.25">
      <c r="A30" s="18"/>
      <c r="B30" s="36" t="s">
        <v>24</v>
      </c>
      <c r="C30" s="37" t="s">
        <v>25</v>
      </c>
      <c r="D30" s="37" t="s">
        <v>26</v>
      </c>
      <c r="E30" s="37" t="s">
        <v>27</v>
      </c>
      <c r="F30" s="37" t="s">
        <v>28</v>
      </c>
      <c r="G30" s="38" t="s">
        <v>74</v>
      </c>
      <c r="H30" s="19" t="s">
        <v>30</v>
      </c>
      <c r="I30" s="44" t="s">
        <v>75</v>
      </c>
      <c r="J30" s="38" t="s">
        <v>76</v>
      </c>
      <c r="K30" s="38" t="s">
        <v>77</v>
      </c>
      <c r="L30" s="38" t="s">
        <v>78</v>
      </c>
      <c r="M30" s="45" t="s">
        <v>79</v>
      </c>
      <c r="N30" s="39" t="s">
        <v>80</v>
      </c>
      <c r="O30" s="38" t="s">
        <v>81</v>
      </c>
      <c r="P30" s="46" t="s">
        <v>82</v>
      </c>
      <c r="Q30" s="47" t="s">
        <v>83</v>
      </c>
      <c r="R30" s="38" t="s">
        <v>84</v>
      </c>
      <c r="S30" s="38" t="s">
        <v>85</v>
      </c>
      <c r="T30" s="38" t="s">
        <v>86</v>
      </c>
      <c r="U30" s="38" t="s">
        <v>87</v>
      </c>
      <c r="V30" s="45" t="s">
        <v>88</v>
      </c>
      <c r="W30" s="19" t="s">
        <v>89</v>
      </c>
      <c r="X30" s="38" t="s">
        <v>90</v>
      </c>
      <c r="Y30" s="48" t="s">
        <v>91</v>
      </c>
      <c r="Z30" s="49" t="s">
        <v>92</v>
      </c>
      <c r="AA30" s="50"/>
    </row>
    <row r="31" spans="1:27" x14ac:dyDescent="0.25">
      <c r="A31" s="25" t="s">
        <v>46</v>
      </c>
      <c r="B31" s="10">
        <v>2748</v>
      </c>
      <c r="C31" s="10">
        <v>2854</v>
      </c>
      <c r="D31" s="51">
        <v>2342</v>
      </c>
      <c r="E31" s="10">
        <v>17095</v>
      </c>
      <c r="F31" s="10">
        <v>536</v>
      </c>
      <c r="G31" s="10">
        <v>413</v>
      </c>
      <c r="H31" s="10">
        <v>5918</v>
      </c>
      <c r="I31" s="10">
        <v>1135</v>
      </c>
      <c r="J31" s="10">
        <v>4859</v>
      </c>
      <c r="K31" s="10">
        <v>0</v>
      </c>
      <c r="L31" s="10">
        <v>315</v>
      </c>
      <c r="M31" s="28">
        <v>832</v>
      </c>
      <c r="N31" s="10">
        <v>5275</v>
      </c>
      <c r="O31" s="10">
        <v>4729</v>
      </c>
      <c r="P31" s="10">
        <v>141</v>
      </c>
      <c r="Q31" s="10">
        <v>7489</v>
      </c>
      <c r="R31" s="10">
        <v>6087</v>
      </c>
      <c r="S31" s="10">
        <v>8993</v>
      </c>
      <c r="T31" s="10">
        <v>3600</v>
      </c>
      <c r="U31" s="10">
        <v>9232</v>
      </c>
      <c r="V31" s="28">
        <v>3056</v>
      </c>
      <c r="W31" s="27">
        <v>17998</v>
      </c>
      <c r="X31" s="52">
        <v>1971</v>
      </c>
      <c r="Y31" s="52">
        <v>10781</v>
      </c>
      <c r="Z31" s="53">
        <v>19641</v>
      </c>
      <c r="AA31" s="54"/>
    </row>
    <row r="32" spans="1:27" x14ac:dyDescent="0.25">
      <c r="A32" s="5" t="s">
        <v>47</v>
      </c>
      <c r="B32" s="10">
        <v>79</v>
      </c>
      <c r="C32" s="10">
        <v>50</v>
      </c>
      <c r="D32" s="55">
        <v>700</v>
      </c>
      <c r="E32" s="55">
        <v>1100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28">
        <v>0</v>
      </c>
      <c r="N32" s="10">
        <v>0</v>
      </c>
      <c r="O32" s="10">
        <v>134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28">
        <v>0</v>
      </c>
      <c r="W32" s="27">
        <v>0</v>
      </c>
      <c r="X32" s="52">
        <v>0</v>
      </c>
      <c r="Y32" s="52">
        <v>0</v>
      </c>
      <c r="Z32" s="53">
        <v>0</v>
      </c>
      <c r="AA32" s="54"/>
    </row>
    <row r="33" spans="1:27" x14ac:dyDescent="0.25">
      <c r="A33" s="5" t="s">
        <v>72</v>
      </c>
      <c r="B33" s="10">
        <v>0</v>
      </c>
      <c r="C33" s="10">
        <v>0</v>
      </c>
      <c r="D33" s="10">
        <v>0</v>
      </c>
      <c r="E33" s="32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28">
        <v>0</v>
      </c>
      <c r="N33" s="10">
        <v>0</v>
      </c>
      <c r="O33" s="32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32">
        <v>0</v>
      </c>
      <c r="V33" s="28">
        <v>0</v>
      </c>
      <c r="W33" s="27">
        <v>0</v>
      </c>
      <c r="X33" s="52">
        <v>0</v>
      </c>
      <c r="Y33" s="52">
        <v>0</v>
      </c>
      <c r="Z33" s="53">
        <v>0</v>
      </c>
      <c r="AA33" s="54"/>
    </row>
    <row r="34" spans="1:27" x14ac:dyDescent="0.25">
      <c r="A34" s="25" t="s">
        <v>49</v>
      </c>
      <c r="B34" s="10">
        <v>2669</v>
      </c>
      <c r="C34" s="28">
        <v>2804</v>
      </c>
      <c r="D34" s="10">
        <v>1642</v>
      </c>
      <c r="E34" s="10">
        <v>15995</v>
      </c>
      <c r="F34" s="10">
        <v>536</v>
      </c>
      <c r="G34" s="10">
        <v>413</v>
      </c>
      <c r="H34" s="10">
        <v>5918</v>
      </c>
      <c r="I34" s="10">
        <v>1135</v>
      </c>
      <c r="J34" s="10">
        <v>4859</v>
      </c>
      <c r="K34" s="10">
        <f>K31-K32-K33</f>
        <v>0</v>
      </c>
      <c r="L34" s="10">
        <v>315</v>
      </c>
      <c r="M34" s="28">
        <v>832</v>
      </c>
      <c r="N34" s="10">
        <v>5275</v>
      </c>
      <c r="O34" s="10">
        <v>4595</v>
      </c>
      <c r="P34" s="10">
        <v>141</v>
      </c>
      <c r="Q34" s="10">
        <f>Q31-Q32-Q33</f>
        <v>7489</v>
      </c>
      <c r="R34" s="10">
        <f>R31-R32-R33</f>
        <v>6087</v>
      </c>
      <c r="S34" s="10">
        <f>S31-S32-S33</f>
        <v>8993</v>
      </c>
      <c r="T34" s="10">
        <f>T31-T32-T33</f>
        <v>3600</v>
      </c>
      <c r="U34" s="10">
        <v>9232</v>
      </c>
      <c r="V34" s="28">
        <v>3056</v>
      </c>
      <c r="W34" s="10">
        <f>W31-W32-W33</f>
        <v>17998</v>
      </c>
      <c r="X34" s="52">
        <v>1971</v>
      </c>
      <c r="Y34" s="52">
        <v>10781</v>
      </c>
      <c r="Z34" s="53">
        <v>19641</v>
      </c>
      <c r="AA34" s="54"/>
    </row>
    <row r="35" spans="1:27" x14ac:dyDescent="0.25">
      <c r="A35" s="281"/>
      <c r="B35" s="285"/>
      <c r="C35" s="285"/>
      <c r="D35" s="285"/>
      <c r="E35" s="285"/>
      <c r="F35" s="285"/>
      <c r="G35" s="285"/>
      <c r="H35" s="286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1"/>
      <c r="V35" s="1"/>
      <c r="W35" s="1"/>
      <c r="X35" s="1"/>
    </row>
    <row r="36" spans="1:27" ht="15.75" thickBot="1" x14ac:dyDescent="0.3">
      <c r="A36" s="56"/>
      <c r="B36" s="56"/>
      <c r="C36" s="56">
        <v>486</v>
      </c>
      <c r="D36" s="56"/>
      <c r="E36" s="56"/>
      <c r="F36" s="56"/>
      <c r="G36" s="56"/>
      <c r="H36" s="56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1"/>
      <c r="V36" s="1"/>
      <c r="W36" s="1"/>
      <c r="X36" s="1"/>
    </row>
    <row r="37" spans="1:27" ht="15.75" thickBot="1" x14ac:dyDescent="0.3">
      <c r="A37" s="25" t="s">
        <v>93</v>
      </c>
      <c r="B37" s="267">
        <v>278947</v>
      </c>
      <c r="C37" s="268"/>
      <c r="D37" s="268"/>
      <c r="E37" s="269"/>
      <c r="F37" s="57"/>
      <c r="G37" s="2"/>
      <c r="H37" s="2"/>
      <c r="I37" s="270" t="s">
        <v>94</v>
      </c>
      <c r="J37" s="271"/>
      <c r="K37" s="272">
        <f>SUM(K38:O40)</f>
        <v>2073771.26</v>
      </c>
      <c r="L37" s="273"/>
      <c r="M37" s="273"/>
      <c r="N37" s="273"/>
      <c r="O37" s="274"/>
      <c r="P37" s="2"/>
      <c r="S37" s="1"/>
      <c r="T37" s="1"/>
      <c r="U37" s="1"/>
      <c r="V37" s="1"/>
      <c r="W37" s="1"/>
      <c r="X37" s="1"/>
    </row>
    <row r="38" spans="1:27" x14ac:dyDescent="0.25">
      <c r="A38" s="1"/>
      <c r="B38" s="1"/>
      <c r="C38" s="1"/>
      <c r="D38" s="1"/>
      <c r="E38" s="1"/>
      <c r="F38" s="1"/>
      <c r="G38" s="211" t="s">
        <v>95</v>
      </c>
      <c r="H38" s="211"/>
      <c r="I38" s="211"/>
      <c r="J38" s="258"/>
      <c r="K38" s="259">
        <v>1375181.44</v>
      </c>
      <c r="L38" s="260"/>
      <c r="M38" s="260"/>
      <c r="N38" s="260"/>
      <c r="O38" s="261"/>
      <c r="P38" s="58"/>
      <c r="S38" s="1"/>
      <c r="T38" s="1"/>
      <c r="U38" s="1"/>
      <c r="V38" s="1"/>
      <c r="W38" s="1"/>
      <c r="X38" s="1"/>
    </row>
    <row r="39" spans="1:27" x14ac:dyDescent="0.25">
      <c r="A39" s="1"/>
      <c r="B39" s="1"/>
      <c r="C39" s="1"/>
      <c r="D39" s="1"/>
      <c r="E39" s="1"/>
      <c r="F39" s="1"/>
      <c r="G39" s="17"/>
      <c r="H39" s="211" t="s">
        <v>96</v>
      </c>
      <c r="I39" s="211"/>
      <c r="J39" s="258"/>
      <c r="K39" s="259">
        <v>95408.78</v>
      </c>
      <c r="L39" s="262"/>
      <c r="M39" s="262"/>
      <c r="N39" s="262"/>
      <c r="O39" s="263"/>
      <c r="P39" s="58"/>
      <c r="S39" s="1"/>
      <c r="T39" s="1"/>
      <c r="U39" s="1"/>
      <c r="V39" s="1"/>
      <c r="W39" s="1"/>
      <c r="X39" s="1"/>
    </row>
    <row r="40" spans="1:27" ht="15.75" thickBot="1" x14ac:dyDescent="0.3">
      <c r="A40" s="1"/>
      <c r="B40" s="1"/>
      <c r="C40" s="1"/>
      <c r="D40" s="1"/>
      <c r="E40" s="1"/>
      <c r="F40" s="1"/>
      <c r="G40" s="211" t="s">
        <v>97</v>
      </c>
      <c r="H40" s="211"/>
      <c r="I40" s="211"/>
      <c r="J40" s="258"/>
      <c r="K40" s="264">
        <v>603181.04</v>
      </c>
      <c r="L40" s="265"/>
      <c r="M40" s="265"/>
      <c r="N40" s="265"/>
      <c r="O40" s="266"/>
      <c r="P40" s="58"/>
      <c r="S40" s="1"/>
      <c r="U40" s="1"/>
      <c r="V40" s="1"/>
      <c r="W40" s="1"/>
      <c r="X40" s="1"/>
    </row>
    <row r="41" spans="1:27" x14ac:dyDescent="0.25">
      <c r="A41" s="1"/>
      <c r="B41" s="1"/>
      <c r="D41" s="1"/>
      <c r="E41" s="1"/>
      <c r="F41" s="1"/>
      <c r="G41" s="1"/>
      <c r="H41" s="1"/>
      <c r="I41" s="59"/>
      <c r="J41" s="59"/>
      <c r="K41" s="60"/>
      <c r="L41" s="60"/>
      <c r="M41" s="60"/>
      <c r="N41" s="60"/>
      <c r="O41" s="60"/>
      <c r="P41" s="2"/>
      <c r="S41" s="1"/>
      <c r="T41" s="1"/>
      <c r="U41" s="1"/>
      <c r="V41" s="1"/>
      <c r="W41" s="1"/>
      <c r="X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59"/>
      <c r="J42" s="59"/>
      <c r="K42" s="60"/>
      <c r="L42" s="60"/>
      <c r="M42" s="60"/>
      <c r="N42" s="60"/>
      <c r="O42" s="60"/>
      <c r="P42" s="2"/>
      <c r="S42" s="1"/>
      <c r="T42" s="1"/>
      <c r="U42" s="1"/>
      <c r="V42" s="1"/>
      <c r="W42" s="1"/>
      <c r="X42" s="1"/>
    </row>
    <row r="43" spans="1:27" x14ac:dyDescent="0.25">
      <c r="A43" s="2"/>
      <c r="B43" s="242" t="s">
        <v>98</v>
      </c>
      <c r="C43" s="243"/>
      <c r="D43" s="61" t="s">
        <v>99</v>
      </c>
      <c r="E43" s="253" t="s">
        <v>100</v>
      </c>
      <c r="F43" s="253"/>
      <c r="G43" s="253"/>
      <c r="H43" s="62" t="s">
        <v>99</v>
      </c>
      <c r="I43" s="61" t="s">
        <v>101</v>
      </c>
      <c r="J43" s="254" t="s">
        <v>102</v>
      </c>
      <c r="K43" s="255"/>
      <c r="L43" s="255"/>
      <c r="M43" s="255"/>
      <c r="N43" s="256"/>
      <c r="O43" s="63" t="s">
        <v>98</v>
      </c>
      <c r="P43" s="61" t="s">
        <v>100</v>
      </c>
      <c r="S43" s="1"/>
      <c r="T43" s="1"/>
      <c r="U43" s="1"/>
      <c r="V43" s="1"/>
      <c r="W43" s="1"/>
      <c r="X43" s="1"/>
    </row>
    <row r="44" spans="1:27" x14ac:dyDescent="0.25">
      <c r="A44" s="25" t="s">
        <v>103</v>
      </c>
      <c r="B44" s="64">
        <v>78406</v>
      </c>
      <c r="C44" s="65">
        <v>78456</v>
      </c>
      <c r="D44" s="64">
        <v>3460</v>
      </c>
      <c r="E44" s="66">
        <v>78392</v>
      </c>
      <c r="F44" s="257">
        <v>78405</v>
      </c>
      <c r="G44" s="257"/>
      <c r="H44" s="67">
        <v>130</v>
      </c>
      <c r="I44" s="68">
        <v>130</v>
      </c>
      <c r="J44" s="248" t="s">
        <v>104</v>
      </c>
      <c r="K44" s="248"/>
      <c r="L44" s="248"/>
      <c r="M44" s="248"/>
      <c r="N44" s="248"/>
      <c r="O44" s="69">
        <v>80</v>
      </c>
      <c r="P44" s="63">
        <v>50</v>
      </c>
      <c r="S44" s="1"/>
      <c r="T44" s="1"/>
      <c r="U44" s="1"/>
      <c r="V44" s="1"/>
      <c r="W44" s="1"/>
      <c r="X44" s="1"/>
    </row>
    <row r="45" spans="1:27" ht="15.75" thickBot="1" x14ac:dyDescent="0.3">
      <c r="A45" s="1"/>
      <c r="B45" s="245" t="s">
        <v>0</v>
      </c>
      <c r="C45" s="246"/>
      <c r="D45" s="246"/>
      <c r="E45" s="246"/>
      <c r="F45" s="246"/>
      <c r="G45" s="246"/>
      <c r="H45" s="247"/>
      <c r="I45" s="70"/>
      <c r="J45" s="248" t="s">
        <v>105</v>
      </c>
      <c r="K45" s="248"/>
      <c r="L45" s="248"/>
      <c r="M45" s="248"/>
      <c r="N45" s="248"/>
      <c r="O45" s="236">
        <v>0</v>
      </c>
      <c r="P45" s="237"/>
      <c r="Q45" s="1"/>
      <c r="S45" s="1"/>
      <c r="T45" s="1"/>
      <c r="U45" s="1"/>
      <c r="V45" s="1"/>
      <c r="W45" s="1"/>
      <c r="X45" s="1"/>
    </row>
    <row r="46" spans="1:27" x14ac:dyDescent="0.25">
      <c r="A46" s="5"/>
      <c r="B46" s="5"/>
      <c r="C46" s="5"/>
      <c r="D46" s="1"/>
      <c r="E46" s="1"/>
      <c r="F46" s="1"/>
      <c r="G46" s="1"/>
      <c r="H46" s="1"/>
      <c r="I46" s="71"/>
      <c r="J46" s="1"/>
      <c r="K46" s="1"/>
      <c r="L46" s="1"/>
      <c r="M46" s="1"/>
      <c r="N46" s="1"/>
      <c r="O46" s="1"/>
      <c r="P46" s="2"/>
      <c r="Q46" s="1"/>
      <c r="R46" s="1"/>
      <c r="S46" s="1"/>
      <c r="T46" s="1"/>
      <c r="U46" s="1"/>
      <c r="V46" s="1"/>
      <c r="W46" s="1"/>
      <c r="X46" s="1"/>
    </row>
    <row r="47" spans="1:27" x14ac:dyDescent="0.25">
      <c r="A47" s="238" t="s">
        <v>106</v>
      </c>
      <c r="B47" s="239"/>
      <c r="C47" s="239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1"/>
      <c r="Q47" s="1"/>
      <c r="R47" s="1"/>
      <c r="S47" s="1"/>
      <c r="T47" s="1"/>
      <c r="U47" s="1"/>
      <c r="V47" s="1"/>
      <c r="W47" s="1"/>
      <c r="X47" s="1"/>
    </row>
    <row r="48" spans="1:27" x14ac:dyDescent="0.25">
      <c r="A48" s="34"/>
      <c r="B48" s="34"/>
      <c r="C48" s="3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34"/>
      <c r="B49" s="72"/>
      <c r="C49" s="7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3"/>
      <c r="B50" s="72"/>
      <c r="C50" s="74"/>
      <c r="D50" s="17" t="s">
        <v>107</v>
      </c>
      <c r="E50" s="242">
        <v>55974</v>
      </c>
      <c r="F50" s="243"/>
      <c r="G50" s="243"/>
      <c r="H50" s="244"/>
      <c r="I50" s="1"/>
      <c r="J50" s="211" t="s">
        <v>108</v>
      </c>
      <c r="K50" s="211"/>
      <c r="L50" s="212"/>
      <c r="M50" s="218">
        <v>29117713</v>
      </c>
      <c r="N50" s="219"/>
      <c r="O50" s="220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73"/>
      <c r="B51" s="72"/>
      <c r="C51" s="74"/>
      <c r="D51" s="17" t="s">
        <v>109</v>
      </c>
      <c r="E51" s="242">
        <v>886896</v>
      </c>
      <c r="F51" s="243"/>
      <c r="G51" s="243"/>
      <c r="H51" s="244"/>
      <c r="I51" s="1"/>
      <c r="J51" s="211" t="s">
        <v>110</v>
      </c>
      <c r="K51" s="211"/>
      <c r="L51" s="212"/>
      <c r="M51" s="218">
        <v>682772</v>
      </c>
      <c r="N51" s="219"/>
      <c r="O51" s="220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thickBot="1" x14ac:dyDescent="0.3">
      <c r="A52" s="34"/>
      <c r="B52" s="34"/>
      <c r="C52" s="75"/>
      <c r="D52" s="76" t="s">
        <v>111</v>
      </c>
      <c r="E52" s="249">
        <f>SUM(E50:H51)</f>
        <v>942870</v>
      </c>
      <c r="F52" s="249"/>
      <c r="G52" s="249"/>
      <c r="H52" s="249"/>
      <c r="I52" s="1"/>
      <c r="J52" s="211" t="s">
        <v>112</v>
      </c>
      <c r="K52" s="211"/>
      <c r="L52" s="212"/>
      <c r="M52" s="250">
        <v>1172453</v>
      </c>
      <c r="N52" s="251"/>
      <c r="O52" s="252"/>
      <c r="P52" s="1"/>
      <c r="R52" s="1"/>
      <c r="S52" s="1"/>
      <c r="T52" s="1"/>
      <c r="U52" s="1"/>
      <c r="V52" s="1"/>
      <c r="W52" s="1"/>
      <c r="X52" s="1"/>
    </row>
    <row r="53" spans="1:24" ht="15.75" thickTop="1" x14ac:dyDescent="0.25">
      <c r="A53" s="34"/>
      <c r="B53" s="34"/>
      <c r="C53" s="75"/>
      <c r="D53" s="77"/>
      <c r="E53" s="77"/>
      <c r="F53" s="77"/>
      <c r="G53" s="77"/>
      <c r="H53" s="77"/>
      <c r="I53" s="1"/>
      <c r="J53" s="211" t="s">
        <v>113</v>
      </c>
      <c r="K53" s="211"/>
      <c r="L53" s="212"/>
      <c r="M53" s="218">
        <v>1113615</v>
      </c>
      <c r="N53" s="219"/>
      <c r="O53" s="220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thickBot="1" x14ac:dyDescent="0.3">
      <c r="A54" s="1"/>
      <c r="B54" s="1"/>
      <c r="C54" s="77"/>
      <c r="D54" s="77"/>
      <c r="E54" s="77"/>
      <c r="F54" s="77"/>
      <c r="G54" s="77"/>
      <c r="H54" s="77"/>
      <c r="I54" s="1"/>
      <c r="J54" s="211" t="s">
        <v>114</v>
      </c>
      <c r="K54" s="211"/>
      <c r="L54" s="212"/>
      <c r="M54" s="233">
        <v>0</v>
      </c>
      <c r="N54" s="234"/>
      <c r="O54" s="235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thickBot="1" x14ac:dyDescent="0.3">
      <c r="A55" s="1"/>
      <c r="B55" s="1"/>
      <c r="C55" s="211" t="s">
        <v>115</v>
      </c>
      <c r="D55" s="211"/>
      <c r="E55" s="212"/>
      <c r="F55" s="213">
        <v>1747736</v>
      </c>
      <c r="G55" s="214"/>
      <c r="H55" s="215"/>
      <c r="I55" s="1"/>
      <c r="J55" s="216" t="s">
        <v>116</v>
      </c>
      <c r="K55" s="216"/>
      <c r="L55" s="217"/>
      <c r="M55" s="218">
        <f>M50+M52-M51-M53-M54</f>
        <v>28493779</v>
      </c>
      <c r="N55" s="219"/>
      <c r="O55" s="220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221" t="s">
        <v>117</v>
      </c>
      <c r="K56" s="221"/>
      <c r="L56" s="222"/>
      <c r="M56" s="218">
        <v>28493779</v>
      </c>
      <c r="N56" s="219"/>
      <c r="O56" s="220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223" t="s">
        <v>118</v>
      </c>
      <c r="K57" s="223"/>
      <c r="L57" s="224"/>
      <c r="M57" s="225">
        <f>M55-M56</f>
        <v>0</v>
      </c>
      <c r="N57" s="226"/>
      <c r="O57" s="227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x14ac:dyDescent="0.25">
      <c r="A58" s="1"/>
      <c r="B58" s="1"/>
      <c r="F58" s="1"/>
      <c r="G58" s="1"/>
      <c r="H58" s="1"/>
      <c r="I58" s="1"/>
      <c r="J58" s="228" t="s">
        <v>119</v>
      </c>
      <c r="K58" s="228"/>
      <c r="L58" s="229"/>
      <c r="M58" s="230"/>
      <c r="N58" s="231"/>
      <c r="O58" s="232"/>
    </row>
    <row r="59" spans="1:24" x14ac:dyDescent="0.25">
      <c r="E59" s="24"/>
      <c r="F59" s="24"/>
      <c r="G59" s="24"/>
    </row>
    <row r="68" spans="3:11" x14ac:dyDescent="0.25">
      <c r="C68" s="12"/>
      <c r="D68" s="12"/>
      <c r="E68" s="12"/>
      <c r="F68" s="12"/>
      <c r="G68" s="12"/>
      <c r="H68" s="12"/>
      <c r="I68" s="12"/>
      <c r="J68" s="12"/>
      <c r="K68" s="12"/>
    </row>
    <row r="69" spans="3:11" x14ac:dyDescent="0.25">
      <c r="C69" s="12"/>
      <c r="D69" s="12"/>
      <c r="E69" s="12"/>
      <c r="F69" s="12"/>
      <c r="G69" s="12"/>
      <c r="H69" s="12"/>
      <c r="I69" s="12"/>
      <c r="J69" s="12"/>
      <c r="K69" s="12"/>
    </row>
    <row r="70" spans="3:11" x14ac:dyDescent="0.25">
      <c r="C70" s="12"/>
      <c r="D70" s="12"/>
      <c r="E70" s="12"/>
      <c r="F70" s="12"/>
      <c r="G70" s="12"/>
      <c r="H70" s="12"/>
      <c r="I70" s="12"/>
      <c r="J70" s="12"/>
      <c r="K70" s="12"/>
    </row>
    <row r="71" spans="3:11" x14ac:dyDescent="0.25">
      <c r="C71" s="12"/>
      <c r="D71" s="78"/>
      <c r="E71" s="78"/>
      <c r="F71" s="78"/>
      <c r="G71" s="78"/>
      <c r="H71" s="78"/>
      <c r="I71" s="12"/>
      <c r="J71" s="12"/>
      <c r="K71" s="12"/>
    </row>
    <row r="72" spans="3:11" x14ac:dyDescent="0.25">
      <c r="C72" s="12"/>
      <c r="D72" s="12"/>
      <c r="E72" s="12"/>
      <c r="F72" s="12"/>
      <c r="G72" s="12"/>
      <c r="H72" s="12"/>
      <c r="I72" s="12"/>
      <c r="J72" s="12"/>
      <c r="K72" s="12"/>
    </row>
    <row r="73" spans="3:11" x14ac:dyDescent="0.25">
      <c r="C73" s="12"/>
      <c r="D73" s="12"/>
      <c r="E73" s="12"/>
      <c r="F73" s="12"/>
      <c r="G73" s="12"/>
      <c r="H73" s="12"/>
      <c r="I73" s="12"/>
      <c r="J73" s="12"/>
      <c r="K73" s="12"/>
    </row>
    <row r="74" spans="3:11" x14ac:dyDescent="0.25">
      <c r="C74" s="12"/>
      <c r="D74" s="78"/>
      <c r="E74" s="78"/>
      <c r="F74" s="12"/>
      <c r="G74" s="12"/>
      <c r="H74" s="12"/>
      <c r="I74" s="12"/>
      <c r="J74" s="12"/>
      <c r="K74" s="12"/>
    </row>
    <row r="75" spans="3:11" x14ac:dyDescent="0.25">
      <c r="C75" s="12"/>
      <c r="D75" s="12"/>
      <c r="E75" s="12"/>
      <c r="F75" s="12"/>
      <c r="G75" s="12"/>
      <c r="H75" s="12"/>
      <c r="I75" s="12"/>
      <c r="J75" s="12"/>
      <c r="K75" s="12"/>
    </row>
    <row r="76" spans="3:11" x14ac:dyDescent="0.25">
      <c r="C76" s="12"/>
      <c r="D76" s="78"/>
      <c r="E76" s="78"/>
      <c r="F76" s="12"/>
      <c r="G76" s="12"/>
      <c r="H76" s="12"/>
      <c r="I76" s="12"/>
      <c r="J76" s="12"/>
      <c r="K76" s="12"/>
    </row>
    <row r="77" spans="3:11" ht="15.75" x14ac:dyDescent="0.25">
      <c r="C77" s="12"/>
      <c r="D77" s="78"/>
      <c r="E77" s="78"/>
      <c r="F77" s="12"/>
      <c r="G77" s="12"/>
      <c r="H77" s="79"/>
      <c r="I77" s="12"/>
      <c r="J77" s="12"/>
      <c r="K77" s="12"/>
    </row>
    <row r="78" spans="3:11" x14ac:dyDescent="0.25">
      <c r="C78" s="12"/>
      <c r="D78" s="12"/>
      <c r="E78" s="12"/>
      <c r="F78" s="12"/>
      <c r="G78" s="12"/>
      <c r="H78" s="12"/>
      <c r="I78" s="12"/>
      <c r="J78" s="12"/>
      <c r="K78" s="12"/>
    </row>
    <row r="79" spans="3:11" x14ac:dyDescent="0.25">
      <c r="C79" s="12"/>
      <c r="D79" s="12"/>
      <c r="E79" s="12"/>
      <c r="F79" s="12"/>
      <c r="G79" s="12"/>
      <c r="H79" s="12"/>
      <c r="I79" s="12"/>
      <c r="J79" s="12"/>
      <c r="K79" s="12"/>
    </row>
  </sheetData>
  <mergeCells count="99">
    <mergeCell ref="J58:L58"/>
    <mergeCell ref="M58:O58"/>
    <mergeCell ref="J54:L54"/>
    <mergeCell ref="M54:O54"/>
    <mergeCell ref="C55:E55"/>
    <mergeCell ref="F55:H55"/>
    <mergeCell ref="J55:L55"/>
    <mergeCell ref="M55:O55"/>
    <mergeCell ref="J56:L56"/>
    <mergeCell ref="M56:O56"/>
    <mergeCell ref="E50:H50"/>
    <mergeCell ref="J50:L50"/>
    <mergeCell ref="M50:O50"/>
    <mergeCell ref="M53:O53"/>
    <mergeCell ref="J57:L57"/>
    <mergeCell ref="M57:O57"/>
    <mergeCell ref="E52:H52"/>
    <mergeCell ref="J52:L52"/>
    <mergeCell ref="M52:O52"/>
    <mergeCell ref="J53:L53"/>
    <mergeCell ref="E51:H51"/>
    <mergeCell ref="J51:L51"/>
    <mergeCell ref="M51:O51"/>
    <mergeCell ref="B45:H45"/>
    <mergeCell ref="J45:N45"/>
    <mergeCell ref="O45:P45"/>
    <mergeCell ref="A47:P47"/>
    <mergeCell ref="G38:J38"/>
    <mergeCell ref="K38:O38"/>
    <mergeCell ref="H39:J39"/>
    <mergeCell ref="K39:O39"/>
    <mergeCell ref="G40:J40"/>
    <mergeCell ref="K40:O40"/>
    <mergeCell ref="B43:C43"/>
    <mergeCell ref="E43:G43"/>
    <mergeCell ref="J43:N43"/>
    <mergeCell ref="F44:G44"/>
    <mergeCell ref="J44:N44"/>
    <mergeCell ref="B37:E37"/>
    <mergeCell ref="I37:J37"/>
    <mergeCell ref="K37:O37"/>
    <mergeCell ref="A15:C15"/>
    <mergeCell ref="I15:L15"/>
    <mergeCell ref="M15:N15"/>
    <mergeCell ref="O15:P15"/>
    <mergeCell ref="A16:C16"/>
    <mergeCell ref="I16:K16"/>
    <mergeCell ref="M16:N16"/>
    <mergeCell ref="O16:P16"/>
    <mergeCell ref="A17:H17"/>
    <mergeCell ref="M17:P17"/>
    <mergeCell ref="A23:H23"/>
    <mergeCell ref="A29:H29"/>
    <mergeCell ref="A35:H35"/>
    <mergeCell ref="A13:C13"/>
    <mergeCell ref="I13:L13"/>
    <mergeCell ref="M13:N13"/>
    <mergeCell ref="O13:P13"/>
    <mergeCell ref="A14:C14"/>
    <mergeCell ref="I14:L14"/>
    <mergeCell ref="M14:N14"/>
    <mergeCell ref="O14:P14"/>
    <mergeCell ref="A11:C11"/>
    <mergeCell ref="I11:L11"/>
    <mergeCell ref="M11:N11"/>
    <mergeCell ref="O11:P11"/>
    <mergeCell ref="A12:C12"/>
    <mergeCell ref="I12:L12"/>
    <mergeCell ref="M12:N12"/>
    <mergeCell ref="O12:P12"/>
    <mergeCell ref="A9:C9"/>
    <mergeCell ref="I9:L9"/>
    <mergeCell ref="M9:N9"/>
    <mergeCell ref="O9:P9"/>
    <mergeCell ref="A10:C10"/>
    <mergeCell ref="I10:L10"/>
    <mergeCell ref="M10:N10"/>
    <mergeCell ref="O10:P10"/>
    <mergeCell ref="A7:C7"/>
    <mergeCell ref="I7:L7"/>
    <mergeCell ref="M7:N7"/>
    <mergeCell ref="O7:P7"/>
    <mergeCell ref="A8:C8"/>
    <mergeCell ref="I8:L8"/>
    <mergeCell ref="M8:N8"/>
    <mergeCell ref="O8:P8"/>
    <mergeCell ref="A5:D5"/>
    <mergeCell ref="M5:N5"/>
    <mergeCell ref="O5:P5"/>
    <mergeCell ref="A6:C6"/>
    <mergeCell ref="I6:L6"/>
    <mergeCell ref="M6:N6"/>
    <mergeCell ref="O6:P6"/>
    <mergeCell ref="J1:K1"/>
    <mergeCell ref="A2:P2"/>
    <mergeCell ref="A3:A4"/>
    <mergeCell ref="B3:D4"/>
    <mergeCell ref="M3:N4"/>
    <mergeCell ref="O3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18.08.2023</vt:lpstr>
      <vt:lpstr>17.08.2023</vt:lpstr>
      <vt:lpstr>16.08.2023</vt:lpstr>
      <vt:lpstr>15.08.2023</vt:lpstr>
      <vt:lpstr>13.8-14.08.2023</vt:lpstr>
      <vt:lpstr>12.08.2023</vt:lpstr>
      <vt:lpstr>11.08.2023</vt:lpstr>
      <vt:lpstr>10.08.2023</vt:lpstr>
      <vt:lpstr>09.08.2023</vt:lpstr>
      <vt:lpstr>08.08.2023</vt:lpstr>
      <vt:lpstr>07.08.2023</vt:lpstr>
      <vt:lpstr>05.08.2023</vt:lpstr>
      <vt:lpstr>04.08.2023</vt:lpstr>
      <vt:lpstr>03.08.2023</vt:lpstr>
      <vt:lpstr>02.08.2023</vt:lpstr>
      <vt:lpstr>01.08.2023</vt:lpstr>
      <vt:lpstr>31.07.2023</vt:lpstr>
      <vt:lpstr>29.07.2023</vt:lpstr>
      <vt:lpstr>28.07.2023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MR-HEMANTH</dc:creator>
  <cp:lastModifiedBy>user</cp:lastModifiedBy>
  <cp:lastPrinted>2023-08-09T10:53:13Z</cp:lastPrinted>
  <dcterms:created xsi:type="dcterms:W3CDTF">2023-07-29T03:26:15Z</dcterms:created>
  <dcterms:modified xsi:type="dcterms:W3CDTF">2023-09-29T10:18:40Z</dcterms:modified>
</cp:coreProperties>
</file>