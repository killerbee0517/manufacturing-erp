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. G DRIVE DATAS\ERP SAP\"/>
    </mc:Choice>
  </mc:AlternateContent>
  <bookViews>
    <workbookView xWindow="0" yWindow="0" windowWidth="20490" windowHeight="7755"/>
  </bookViews>
  <sheets>
    <sheet name="14.09.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1" i="1" l="1"/>
  <c r="Q16" i="1" l="1"/>
  <c r="Q18" i="1" s="1"/>
  <c r="Q6" i="1" l="1"/>
  <c r="H12" i="1" l="1"/>
</calcChain>
</file>

<file path=xl/sharedStrings.xml><?xml version="1.0" encoding="utf-8"?>
<sst xmlns="http://schemas.openxmlformats.org/spreadsheetml/2006/main" count="36" uniqueCount="36">
  <si>
    <t>Prepared by</t>
  </si>
  <si>
    <t xml:space="preserve">Date </t>
  </si>
  <si>
    <t>CASH &amp; BANK BALANCE</t>
  </si>
  <si>
    <t>Cash Balance</t>
  </si>
  <si>
    <t>Total Fund Inflow</t>
  </si>
  <si>
    <t>SBI OD 3533 Balance</t>
  </si>
  <si>
    <t>Total Fund Outlow</t>
  </si>
  <si>
    <t>Net Fund Flow</t>
  </si>
  <si>
    <t>SALES  &amp; COLLECTION &amp; PRODUCTION REPORT</t>
  </si>
  <si>
    <t>Appam Podi</t>
  </si>
  <si>
    <t>Cash Sales</t>
  </si>
  <si>
    <t>Sundry Debtors Summary</t>
  </si>
  <si>
    <t>Credit Sales</t>
  </si>
  <si>
    <t>Previous Day Pending</t>
  </si>
  <si>
    <t>chemba</t>
  </si>
  <si>
    <t>Total Sales</t>
  </si>
  <si>
    <t>Previous Day Collection</t>
  </si>
  <si>
    <t>Roasted Rava</t>
  </si>
  <si>
    <t>Today's Net Credit Sales</t>
  </si>
  <si>
    <t>Maida</t>
  </si>
  <si>
    <t>Today's Collection</t>
  </si>
  <si>
    <t>Palappam</t>
  </si>
  <si>
    <t xml:space="preserve"> Today's Sales Return</t>
  </si>
  <si>
    <t>Wheat Puttu</t>
  </si>
  <si>
    <t>Total Outstanding</t>
  </si>
  <si>
    <t>Atta</t>
  </si>
  <si>
    <t>Total Outstanding as per tally</t>
  </si>
  <si>
    <t>Difference</t>
  </si>
  <si>
    <t>Total</t>
  </si>
  <si>
    <t>Akhil .C</t>
  </si>
  <si>
    <t>MOTHER'S FOODS DAILY SUMMARY REPORT</t>
  </si>
  <si>
    <t>puttu podi</t>
  </si>
  <si>
    <t>Vermicille</t>
  </si>
  <si>
    <t>Dosha Mix</t>
  </si>
  <si>
    <t>Palada payasam</t>
  </si>
  <si>
    <t>Raw material (To rice mill)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</si>
</sst>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i/>
      <sz val="11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Border="1" applyAlignment="1" applyProtection="1">
      <alignment horizontal="right" vertical="top"/>
      <protection hidden="1"/>
    </xf>
    <xf numFmtId="0" fontId="3" fillId="0" borderId="0" xfId="0" applyFont="1" applyBorder="1" applyProtection="1">
      <protection hidden="1"/>
    </xf>
    <xf numFmtId="0" fontId="2" fillId="0" borderId="0" xfId="0" applyFont="1" applyBorder="1" applyAlignment="1" applyProtection="1">
      <alignment vertical="center"/>
      <protection hidden="1"/>
    </xf>
    <xf numFmtId="0" fontId="3" fillId="0" borderId="0" xfId="0" applyFont="1"/>
    <xf numFmtId="0" fontId="4" fillId="0" borderId="0" xfId="0" applyFont="1"/>
    <xf numFmtId="0" fontId="3" fillId="0" borderId="0" xfId="0" applyFont="1" applyBorder="1" applyAlignment="1">
      <alignment horizontal="center"/>
    </xf>
    <xf numFmtId="0" fontId="4" fillId="0" borderId="0" xfId="0" applyFont="1" applyFill="1" applyBorder="1" applyAlignment="1" applyProtection="1">
      <alignment horizontal="left" vertical="center"/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left"/>
      <protection hidden="1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4" borderId="2" xfId="0" applyFont="1" applyFill="1" applyBorder="1" applyAlignment="1" applyProtection="1">
      <alignment horizontal="left" vertical="center"/>
      <protection hidden="1"/>
    </xf>
    <xf numFmtId="0" fontId="3" fillId="4" borderId="3" xfId="0" applyFont="1" applyFill="1" applyBorder="1" applyAlignment="1" applyProtection="1">
      <alignment horizontal="center" vertical="center"/>
      <protection hidden="1"/>
    </xf>
    <xf numFmtId="0" fontId="3" fillId="4" borderId="4" xfId="0" applyFont="1" applyFill="1" applyBorder="1" applyAlignment="1" applyProtection="1">
      <alignment horizontal="center" vertical="center"/>
      <protection hidden="1"/>
    </xf>
    <xf numFmtId="0" fontId="4" fillId="0" borderId="2" xfId="0" applyFont="1" applyFill="1" applyBorder="1" applyAlignment="1" applyProtection="1">
      <alignment horizontal="left" vertical="center"/>
      <protection hidden="1"/>
    </xf>
    <xf numFmtId="0" fontId="3" fillId="4" borderId="2" xfId="0" applyFont="1" applyFill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left"/>
      <protection hidden="1"/>
    </xf>
    <xf numFmtId="0" fontId="4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Fill="1" applyBorder="1" applyAlignment="1" applyProtection="1">
      <alignment horizontal="left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2" borderId="5" xfId="0" applyFont="1" applyFill="1" applyBorder="1" applyAlignment="1">
      <alignment horizontal="center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3" fillId="0" borderId="2" xfId="0" applyFont="1" applyFill="1" applyBorder="1" applyAlignment="1" applyProtection="1">
      <alignment horizontal="center" vertical="center"/>
      <protection hidden="1"/>
    </xf>
    <xf numFmtId="0" fontId="4" fillId="0" borderId="2" xfId="0" applyFont="1" applyFill="1" applyBorder="1" applyAlignment="1" applyProtection="1">
      <alignment horizontal="center"/>
      <protection hidden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2" borderId="1" xfId="0" applyFont="1" applyFill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14" fontId="2" fillId="0" borderId="0" xfId="0" applyNumberFormat="1" applyFont="1" applyBorder="1" applyAlignment="1" applyProtection="1">
      <alignment horizontal="center" vertical="center"/>
      <protection hidden="1"/>
    </xf>
    <xf numFmtId="0" fontId="4" fillId="3" borderId="1" xfId="0" applyFont="1" applyFill="1" applyBorder="1" applyAlignment="1" applyProtection="1">
      <alignment horizontal="center" vertical="center"/>
      <protection hidden="1"/>
    </xf>
    <xf numFmtId="0" fontId="4" fillId="0" borderId="2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Fill="1" applyBorder="1" applyAlignment="1" applyProtection="1">
      <alignment horizontal="center" vertical="center"/>
      <protection hidden="1"/>
    </xf>
    <xf numFmtId="0" fontId="4" fillId="0" borderId="1" xfId="0" applyFont="1" applyFill="1" applyBorder="1" applyAlignment="1" applyProtection="1">
      <alignment horizontal="center" vertical="center"/>
      <protection hidden="1"/>
    </xf>
    <xf numFmtId="0" fontId="4" fillId="0" borderId="4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workbookViewId="0">
      <selection activeCell="C12" sqref="C12:D12"/>
    </sheetView>
  </sheetViews>
  <sheetFormatPr defaultRowHeight="15" x14ac:dyDescent="0.25"/>
  <cols>
    <col min="2" max="2" width="9.140625" customWidth="1"/>
    <col min="5" max="5" width="10" customWidth="1"/>
  </cols>
  <sheetData>
    <row r="1" spans="1:18" ht="15.75" x14ac:dyDescent="0.25">
      <c r="A1" s="32" t="s">
        <v>30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x14ac:dyDescent="0.25">
      <c r="A2" s="33" t="s">
        <v>0</v>
      </c>
      <c r="B2" s="33"/>
      <c r="C2" s="33"/>
      <c r="D2" s="33" t="s">
        <v>29</v>
      </c>
      <c r="E2" s="33"/>
      <c r="F2" s="33"/>
      <c r="G2" s="1"/>
      <c r="H2" s="2"/>
      <c r="I2" s="3"/>
      <c r="J2" s="3"/>
      <c r="K2" s="3"/>
      <c r="L2" s="3"/>
      <c r="M2" s="3"/>
      <c r="N2" s="2"/>
      <c r="O2" s="2"/>
      <c r="P2" s="3" t="s">
        <v>1</v>
      </c>
      <c r="Q2" s="34">
        <v>45183</v>
      </c>
      <c r="R2" s="34"/>
    </row>
    <row r="3" spans="1:18" x14ac:dyDescent="0.25">
      <c r="A3" s="35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spans="1:18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25">
      <c r="A5" s="36" t="s">
        <v>3</v>
      </c>
      <c r="B5" s="36"/>
      <c r="C5" s="36"/>
      <c r="D5" s="37">
        <v>42290</v>
      </c>
      <c r="E5" s="38"/>
      <c r="F5" s="4"/>
      <c r="G5" s="39" t="s">
        <v>4</v>
      </c>
      <c r="H5" s="40"/>
      <c r="I5" s="41"/>
      <c r="J5" s="37">
        <v>1469926</v>
      </c>
      <c r="K5" s="38"/>
      <c r="L5" s="4"/>
      <c r="M5" s="4"/>
      <c r="N5" s="4"/>
      <c r="O5" s="4"/>
      <c r="P5" s="4"/>
      <c r="Q5" s="4"/>
      <c r="R5" s="4"/>
    </row>
    <row r="6" spans="1:18" x14ac:dyDescent="0.25">
      <c r="A6" s="39" t="s">
        <v>5</v>
      </c>
      <c r="B6" s="40"/>
      <c r="C6" s="41"/>
      <c r="D6" s="37">
        <v>1409667.5</v>
      </c>
      <c r="E6" s="38"/>
      <c r="F6" s="4"/>
      <c r="G6" s="39" t="s">
        <v>6</v>
      </c>
      <c r="H6" s="40"/>
      <c r="I6" s="41"/>
      <c r="J6" s="37">
        <v>763527</v>
      </c>
      <c r="K6" s="38"/>
      <c r="L6" s="4"/>
      <c r="M6" s="4"/>
      <c r="N6" s="20" t="s">
        <v>7</v>
      </c>
      <c r="O6" s="20"/>
      <c r="P6" s="20"/>
      <c r="Q6" s="30">
        <f>J5-J6</f>
        <v>706399</v>
      </c>
      <c r="R6" s="31"/>
    </row>
    <row r="7" spans="1:18" x14ac:dyDescent="0.25">
      <c r="A7" s="4"/>
      <c r="B7" s="4"/>
      <c r="C7" s="4"/>
      <c r="D7" s="9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5">
      <c r="A8" s="35" t="s">
        <v>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</row>
    <row r="9" spans="1:18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25">
      <c r="A10" s="27" t="s">
        <v>9</v>
      </c>
      <c r="B10" s="27"/>
      <c r="C10" s="12">
        <v>467</v>
      </c>
      <c r="D10" s="12"/>
      <c r="E10" s="5"/>
      <c r="F10" s="28" t="s">
        <v>10</v>
      </c>
      <c r="G10" s="28"/>
      <c r="H10" s="13">
        <v>0</v>
      </c>
      <c r="I10" s="13"/>
      <c r="J10" s="5"/>
      <c r="K10" s="5"/>
      <c r="L10" s="24" t="s">
        <v>11</v>
      </c>
      <c r="M10" s="24"/>
      <c r="N10" s="24"/>
      <c r="O10" s="24"/>
      <c r="P10" s="24"/>
      <c r="Q10" s="24"/>
      <c r="R10" s="24"/>
    </row>
    <row r="11" spans="1:18" x14ac:dyDescent="0.25">
      <c r="A11" s="27" t="s">
        <v>31</v>
      </c>
      <c r="B11" s="27"/>
      <c r="C11" s="12">
        <v>13.5</v>
      </c>
      <c r="D11" s="12"/>
      <c r="E11" s="5"/>
      <c r="F11" s="28" t="s">
        <v>12</v>
      </c>
      <c r="G11" s="28"/>
      <c r="H11" s="13">
        <v>404279</v>
      </c>
      <c r="I11" s="13"/>
      <c r="J11" s="5"/>
      <c r="K11" s="5"/>
      <c r="L11" s="22" t="s">
        <v>13</v>
      </c>
      <c r="M11" s="22"/>
      <c r="N11" s="22"/>
      <c r="O11" s="22"/>
      <c r="P11" s="22"/>
      <c r="Q11" s="15">
        <v>2793574.86</v>
      </c>
      <c r="R11" s="16"/>
    </row>
    <row r="12" spans="1:18" x14ac:dyDescent="0.25">
      <c r="A12" s="27" t="s">
        <v>14</v>
      </c>
      <c r="B12" s="27"/>
      <c r="C12" s="12">
        <v>19</v>
      </c>
      <c r="D12" s="12"/>
      <c r="E12" s="5"/>
      <c r="F12" s="29" t="s">
        <v>15</v>
      </c>
      <c r="G12" s="29"/>
      <c r="H12" s="30">
        <f>H11+H10</f>
        <v>404279</v>
      </c>
      <c r="I12" s="31"/>
      <c r="J12" s="5"/>
      <c r="K12" s="5"/>
      <c r="L12" s="22" t="s">
        <v>16</v>
      </c>
      <c r="M12" s="22"/>
      <c r="N12" s="22"/>
      <c r="O12" s="22"/>
      <c r="P12" s="22"/>
      <c r="Q12" s="25">
        <v>23205.01</v>
      </c>
      <c r="R12" s="26"/>
    </row>
    <row r="13" spans="1:18" x14ac:dyDescent="0.25">
      <c r="A13" s="11" t="s">
        <v>17</v>
      </c>
      <c r="B13" s="11"/>
      <c r="C13" s="12">
        <v>986.5</v>
      </c>
      <c r="D13" s="12"/>
      <c r="E13" s="5"/>
      <c r="F13" s="5"/>
      <c r="G13" s="5"/>
      <c r="H13" s="5"/>
      <c r="I13" s="5"/>
      <c r="J13" s="5"/>
      <c r="K13" s="5"/>
      <c r="L13" s="22" t="s">
        <v>18</v>
      </c>
      <c r="M13" s="22"/>
      <c r="N13" s="22"/>
      <c r="O13" s="22"/>
      <c r="P13" s="22"/>
      <c r="Q13" s="23">
        <v>404279</v>
      </c>
      <c r="R13" s="23"/>
    </row>
    <row r="14" spans="1:18" x14ac:dyDescent="0.25">
      <c r="A14" s="11" t="s">
        <v>19</v>
      </c>
      <c r="B14" s="11"/>
      <c r="C14" s="12">
        <v>25</v>
      </c>
      <c r="D14" s="12"/>
      <c r="E14" s="5"/>
      <c r="F14" s="24" t="s">
        <v>35</v>
      </c>
      <c r="G14" s="24"/>
      <c r="H14" s="24"/>
      <c r="I14" s="24"/>
      <c r="J14" s="5"/>
      <c r="K14" s="5"/>
      <c r="L14" s="22" t="s">
        <v>20</v>
      </c>
      <c r="M14" s="22"/>
      <c r="N14" s="22"/>
      <c r="O14" s="22"/>
      <c r="P14" s="22"/>
      <c r="Q14" s="25">
        <v>12136</v>
      </c>
      <c r="R14" s="26"/>
    </row>
    <row r="15" spans="1:18" x14ac:dyDescent="0.25">
      <c r="A15" s="11" t="s">
        <v>21</v>
      </c>
      <c r="B15" s="11"/>
      <c r="C15" s="12">
        <v>13.5</v>
      </c>
      <c r="D15" s="12"/>
      <c r="E15" s="5"/>
      <c r="F15" s="13"/>
      <c r="G15" s="13"/>
      <c r="H15" s="21"/>
      <c r="I15" s="21"/>
      <c r="J15" s="5"/>
      <c r="K15" s="5"/>
      <c r="L15" s="22" t="s">
        <v>22</v>
      </c>
      <c r="M15" s="22"/>
      <c r="N15" s="22"/>
      <c r="O15" s="22"/>
      <c r="P15" s="22"/>
      <c r="Q15" s="23">
        <v>0</v>
      </c>
      <c r="R15" s="23"/>
    </row>
    <row r="16" spans="1:18" x14ac:dyDescent="0.25">
      <c r="A16" s="11" t="s">
        <v>23</v>
      </c>
      <c r="B16" s="11"/>
      <c r="C16" s="12">
        <v>5281</v>
      </c>
      <c r="D16" s="12"/>
      <c r="E16" s="5"/>
      <c r="F16" s="13"/>
      <c r="G16" s="13"/>
      <c r="H16" s="13"/>
      <c r="I16" s="13"/>
      <c r="J16" s="5"/>
      <c r="K16" s="5"/>
      <c r="L16" s="14" t="s">
        <v>24</v>
      </c>
      <c r="M16" s="14"/>
      <c r="N16" s="14"/>
      <c r="O16" s="14"/>
      <c r="P16" s="14"/>
      <c r="Q16" s="18">
        <f>+Q11-Q12+Q13-Q14-Q15</f>
        <v>3162512.85</v>
      </c>
      <c r="R16" s="18"/>
    </row>
    <row r="17" spans="1:18" x14ac:dyDescent="0.25">
      <c r="A17" s="11" t="s">
        <v>25</v>
      </c>
      <c r="B17" s="11"/>
      <c r="C17" s="12">
        <v>1843</v>
      </c>
      <c r="D17" s="12"/>
      <c r="E17" s="5"/>
      <c r="F17" s="13"/>
      <c r="G17" s="13"/>
      <c r="H17" s="13"/>
      <c r="I17" s="13"/>
      <c r="J17" s="5"/>
      <c r="K17" s="5"/>
      <c r="L17" s="14" t="s">
        <v>26</v>
      </c>
      <c r="M17" s="14"/>
      <c r="N17" s="14"/>
      <c r="O17" s="14"/>
      <c r="P17" s="14"/>
      <c r="Q17" s="15">
        <v>3162512.85</v>
      </c>
      <c r="R17" s="16"/>
    </row>
    <row r="18" spans="1:18" x14ac:dyDescent="0.25">
      <c r="A18" s="11" t="s">
        <v>32</v>
      </c>
      <c r="B18" s="11"/>
      <c r="C18" s="12">
        <v>0</v>
      </c>
      <c r="D18" s="12"/>
      <c r="E18" s="5"/>
      <c r="F18" s="13"/>
      <c r="G18" s="13"/>
      <c r="H18" s="13"/>
      <c r="I18" s="13"/>
      <c r="J18" s="5"/>
      <c r="K18" s="5"/>
      <c r="L18" s="17" t="s">
        <v>27</v>
      </c>
      <c r="M18" s="17"/>
      <c r="N18" s="17"/>
      <c r="O18" s="17"/>
      <c r="P18" s="17"/>
      <c r="Q18" s="10">
        <f>+Q16-Q17</f>
        <v>0</v>
      </c>
      <c r="R18" s="10"/>
    </row>
    <row r="19" spans="1:18" x14ac:dyDescent="0.25">
      <c r="A19" s="11" t="s">
        <v>34</v>
      </c>
      <c r="B19" s="11"/>
      <c r="C19" s="12">
        <v>0</v>
      </c>
      <c r="D19" s="12"/>
      <c r="E19" s="5"/>
      <c r="F19" s="6"/>
      <c r="G19" s="6"/>
      <c r="H19" s="6"/>
      <c r="I19" s="6"/>
      <c r="J19" s="5"/>
      <c r="K19" s="5"/>
      <c r="L19" s="7"/>
      <c r="M19" s="7"/>
      <c r="N19" s="7"/>
      <c r="O19" s="7"/>
      <c r="P19" s="7"/>
      <c r="Q19" s="8"/>
      <c r="R19" s="8"/>
    </row>
    <row r="20" spans="1:18" x14ac:dyDescent="0.25">
      <c r="A20" s="11" t="s">
        <v>33</v>
      </c>
      <c r="B20" s="11"/>
      <c r="C20" s="13">
        <v>0</v>
      </c>
      <c r="D20" s="13"/>
      <c r="E20" s="5"/>
      <c r="F20" s="6"/>
      <c r="G20" s="6"/>
      <c r="H20" s="6"/>
      <c r="I20" s="6"/>
      <c r="J20" s="5"/>
      <c r="K20" s="5"/>
      <c r="L20" s="7"/>
      <c r="M20" s="7"/>
      <c r="N20" s="7"/>
      <c r="O20" s="7"/>
      <c r="P20" s="7"/>
      <c r="Q20" s="8"/>
      <c r="R20" s="8"/>
    </row>
    <row r="21" spans="1:18" x14ac:dyDescent="0.25">
      <c r="A21" s="19" t="s">
        <v>28</v>
      </c>
      <c r="B21" s="19"/>
      <c r="C21" s="20">
        <f>SUM(C10:D20)</f>
        <v>8648.5</v>
      </c>
      <c r="D21" s="20"/>
      <c r="E21" s="5"/>
      <c r="F21" s="6"/>
      <c r="G21" s="6"/>
      <c r="H21" s="6"/>
      <c r="I21" s="6"/>
      <c r="J21" s="5"/>
      <c r="K21" s="5"/>
      <c r="L21" s="7"/>
      <c r="M21" s="7"/>
      <c r="N21" s="7"/>
      <c r="O21" s="7"/>
      <c r="P21" s="7"/>
      <c r="Q21" s="8"/>
      <c r="R21" s="8"/>
    </row>
  </sheetData>
  <mergeCells count="73">
    <mergeCell ref="A8:R8"/>
    <mergeCell ref="A10:B10"/>
    <mergeCell ref="C10:D10"/>
    <mergeCell ref="F10:G10"/>
    <mergeCell ref="H10:I10"/>
    <mergeCell ref="L10:R10"/>
    <mergeCell ref="Q6:R6"/>
    <mergeCell ref="A1:R1"/>
    <mergeCell ref="A2:C2"/>
    <mergeCell ref="D2:F2"/>
    <mergeCell ref="Q2:R2"/>
    <mergeCell ref="A3:R3"/>
    <mergeCell ref="A5:C5"/>
    <mergeCell ref="D5:E5"/>
    <mergeCell ref="G5:I5"/>
    <mergeCell ref="J5:K5"/>
    <mergeCell ref="A6:C6"/>
    <mergeCell ref="D6:E6"/>
    <mergeCell ref="G6:I6"/>
    <mergeCell ref="J6:K6"/>
    <mergeCell ref="N6:P6"/>
    <mergeCell ref="Q12:R12"/>
    <mergeCell ref="A11:B11"/>
    <mergeCell ref="C11:D11"/>
    <mergeCell ref="F11:G11"/>
    <mergeCell ref="H11:I11"/>
    <mergeCell ref="L11:P11"/>
    <mergeCell ref="Q11:R11"/>
    <mergeCell ref="A12:B12"/>
    <mergeCell ref="C12:D12"/>
    <mergeCell ref="F12:G12"/>
    <mergeCell ref="H12:I12"/>
    <mergeCell ref="L12:P12"/>
    <mergeCell ref="A13:B13"/>
    <mergeCell ref="C13:D13"/>
    <mergeCell ref="L13:P13"/>
    <mergeCell ref="Q13:R13"/>
    <mergeCell ref="A14:B14"/>
    <mergeCell ref="C14:D14"/>
    <mergeCell ref="F14:I14"/>
    <mergeCell ref="L14:P14"/>
    <mergeCell ref="Q14:R14"/>
    <mergeCell ref="F15:G15"/>
    <mergeCell ref="H15:I15"/>
    <mergeCell ref="L15:P15"/>
    <mergeCell ref="Q15:R15"/>
    <mergeCell ref="A16:B16"/>
    <mergeCell ref="C16:D16"/>
    <mergeCell ref="F16:G16"/>
    <mergeCell ref="H16:I16"/>
    <mergeCell ref="L16:P16"/>
    <mergeCell ref="A19:B19"/>
    <mergeCell ref="C19:D19"/>
    <mergeCell ref="A20:B20"/>
    <mergeCell ref="C20:D20"/>
    <mergeCell ref="A21:B21"/>
    <mergeCell ref="C21:D21"/>
    <mergeCell ref="D7:E7"/>
    <mergeCell ref="Q18:R18"/>
    <mergeCell ref="A17:B17"/>
    <mergeCell ref="C17:D17"/>
    <mergeCell ref="F17:G17"/>
    <mergeCell ref="H17:I17"/>
    <mergeCell ref="L17:P17"/>
    <mergeCell ref="Q17:R17"/>
    <mergeCell ref="A18:B18"/>
    <mergeCell ref="C18:D18"/>
    <mergeCell ref="F18:G18"/>
    <mergeCell ref="H18:I18"/>
    <mergeCell ref="L18:P18"/>
    <mergeCell ref="Q16:R16"/>
    <mergeCell ref="A15:B15"/>
    <mergeCell ref="C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14.09.2023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2023-01-02T12:33:26Z</dcterms:created>
  <dcterms:modified xsi:type="dcterms:W3CDTF">2023-09-29T10:19:21Z</dcterms:modified>
</cp:coreProperties>
</file>