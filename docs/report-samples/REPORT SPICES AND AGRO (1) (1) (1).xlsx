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 firstSheet="3" activeTab="4"/>
  </bookViews>
  <sheets>
    <sheet name="14.07.22" sheetId="1" state="hidden" r:id="rId1"/>
    <sheet name="15.07.2022" sheetId="2" state="hidden" r:id="rId2"/>
    <sheet name="19.07.22" sheetId="3" state="hidden" r:id="rId3"/>
    <sheet name="AGRO" sheetId="4" r:id="rId4"/>
    <sheet name="SPICES" sheetId="5" r:id="rId5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1" i="5" l="1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1" i="5" s="1"/>
  <c r="B19" i="4" l="1"/>
  <c r="B20" i="4" s="1"/>
  <c r="L48" i="4" l="1"/>
  <c r="J15" i="4" l="1"/>
  <c r="E45" i="4" l="1"/>
  <c r="C45" i="4" l="1"/>
  <c r="D45" i="4"/>
  <c r="E12" i="4" l="1"/>
  <c r="L61" i="4" l="1"/>
  <c r="L62" i="4"/>
  <c r="L36" i="4" l="1"/>
  <c r="L60" i="4" l="1"/>
  <c r="L59" i="4"/>
  <c r="L58" i="4"/>
  <c r="L57" i="4"/>
  <c r="L56" i="4"/>
  <c r="L55" i="4"/>
  <c r="L54" i="4"/>
  <c r="L53" i="4"/>
  <c r="L52" i="4"/>
  <c r="L35" i="4"/>
  <c r="L34" i="4"/>
  <c r="L33" i="4"/>
  <c r="L32" i="4"/>
  <c r="L31" i="4"/>
  <c r="L30" i="4"/>
  <c r="L29" i="4"/>
  <c r="L28" i="4"/>
  <c r="L27" i="4"/>
  <c r="L63" i="4" l="1"/>
  <c r="L45" i="4"/>
  <c r="K45" i="4"/>
  <c r="J45" i="4"/>
  <c r="I45" i="4"/>
  <c r="H45" i="4"/>
  <c r="G45" i="4"/>
  <c r="F45" i="4"/>
  <c r="B45" i="4"/>
  <c r="M45" i="4" l="1"/>
  <c r="J17" i="4" l="1"/>
  <c r="E11" i="3" l="1"/>
  <c r="L52" i="3" l="1"/>
  <c r="L51" i="3"/>
  <c r="L50" i="3"/>
  <c r="L49" i="3"/>
  <c r="L48" i="3"/>
  <c r="L47" i="3"/>
  <c r="L46" i="3"/>
  <c r="L45" i="3"/>
  <c r="L44" i="3"/>
  <c r="L34" i="3"/>
  <c r="L33" i="3"/>
  <c r="L32" i="3"/>
  <c r="L31" i="3"/>
  <c r="L30" i="3"/>
  <c r="L29" i="3"/>
  <c r="L28" i="3"/>
  <c r="L27" i="3"/>
  <c r="L26" i="3"/>
  <c r="B19" i="3"/>
  <c r="J15" i="3"/>
  <c r="J17" i="3" s="1"/>
  <c r="E12" i="3"/>
  <c r="J12" i="2"/>
  <c r="J15" i="2" s="1"/>
  <c r="P20" i="2"/>
  <c r="P38" i="2" s="1"/>
  <c r="E11" i="2"/>
  <c r="L52" i="2" l="1"/>
  <c r="L51" i="2"/>
  <c r="L50" i="2"/>
  <c r="L49" i="2"/>
  <c r="L48" i="2"/>
  <c r="L47" i="2"/>
  <c r="L46" i="2"/>
  <c r="L45" i="2"/>
  <c r="L44" i="2"/>
  <c r="L34" i="2"/>
  <c r="L33" i="2"/>
  <c r="L32" i="2"/>
  <c r="L31" i="2"/>
  <c r="L30" i="2"/>
  <c r="L29" i="2"/>
  <c r="L28" i="2"/>
  <c r="L27" i="2"/>
  <c r="L26" i="2"/>
  <c r="B19" i="2"/>
  <c r="J17" i="2"/>
  <c r="P13" i="2"/>
  <c r="P15" i="2" s="1"/>
  <c r="P17" i="2" s="1"/>
  <c r="S11" i="2"/>
  <c r="E12" i="2"/>
  <c r="R5" i="2"/>
  <c r="E11" i="1" l="1"/>
  <c r="S11" i="1"/>
  <c r="R5" i="1"/>
  <c r="P13" i="1"/>
  <c r="P15" i="1" s="1"/>
  <c r="P17" i="1" s="1"/>
  <c r="J15" i="1" l="1"/>
  <c r="J17" i="1" s="1"/>
  <c r="L52" i="1" l="1"/>
  <c r="L51" i="1"/>
  <c r="L50" i="1"/>
  <c r="L49" i="1"/>
  <c r="L48" i="1"/>
  <c r="L47" i="1"/>
  <c r="L46" i="1"/>
  <c r="L45" i="1"/>
  <c r="L44" i="1"/>
  <c r="L34" i="1"/>
  <c r="L33" i="1"/>
  <c r="L32" i="1"/>
  <c r="L31" i="1"/>
  <c r="L30" i="1"/>
  <c r="L29" i="1"/>
  <c r="L28" i="1"/>
  <c r="L27" i="1"/>
  <c r="L26" i="1"/>
  <c r="B19" i="1"/>
  <c r="E12" i="1"/>
</calcChain>
</file>

<file path=xl/sharedStrings.xml><?xml version="1.0" encoding="utf-8"?>
<sst xmlns="http://schemas.openxmlformats.org/spreadsheetml/2006/main" count="466" uniqueCount="129">
  <si>
    <t>DAILY SUMMARY REPORT</t>
  </si>
  <si>
    <t>Prepared by</t>
  </si>
  <si>
    <t>Date :</t>
  </si>
  <si>
    <t>CASH &amp; OD BALANCE</t>
  </si>
  <si>
    <t>Cash Balance</t>
  </si>
  <si>
    <t>HDFC OD Balance</t>
  </si>
  <si>
    <t>SALES  &amp; COLLECTION REPORT</t>
  </si>
  <si>
    <t>Atta</t>
  </si>
  <si>
    <t>Cash</t>
  </si>
  <si>
    <t>Previous Day Pending</t>
  </si>
  <si>
    <t>Bran</t>
  </si>
  <si>
    <t>Credit</t>
  </si>
  <si>
    <t>Previous Day Collection</t>
  </si>
  <si>
    <t>Maida</t>
  </si>
  <si>
    <t xml:space="preserve">Total </t>
  </si>
  <si>
    <t>Today's Net Credit Sales</t>
  </si>
  <si>
    <t>sooji</t>
  </si>
  <si>
    <t>Today's Collection</t>
  </si>
  <si>
    <t xml:space="preserve">spices </t>
  </si>
  <si>
    <t xml:space="preserve"> Today's Sales Return</t>
  </si>
  <si>
    <t>rice powder</t>
  </si>
  <si>
    <t>Total Outstanding</t>
  </si>
  <si>
    <t>Rice</t>
  </si>
  <si>
    <t>Total Outstanding as per tally</t>
  </si>
  <si>
    <t xml:space="preserve">supplyco </t>
  </si>
  <si>
    <t>Difference</t>
  </si>
  <si>
    <t>palada supplyco</t>
  </si>
  <si>
    <t>Difference in opening balance in balance sheet</t>
  </si>
  <si>
    <t>Total (kg)</t>
  </si>
  <si>
    <t>STOCK &amp; PRODUCTION SUMMARY</t>
  </si>
  <si>
    <r>
      <rPr>
        <sz val="11"/>
        <rFont val="Calibri"/>
        <family val="2"/>
      </rPr>
      <t>Prepared by</t>
    </r>
    <r>
      <rPr>
        <b/>
        <sz val="11"/>
        <rFont val="Calibri"/>
        <family val="2"/>
      </rPr>
      <t>:</t>
    </r>
  </si>
  <si>
    <t>Date:</t>
  </si>
  <si>
    <t xml:space="preserve">A. STOCK DETAILS  </t>
  </si>
  <si>
    <t>Stock taking time : 5.30 PM</t>
  </si>
  <si>
    <t>Sl No</t>
  </si>
  <si>
    <t>Items</t>
  </si>
  <si>
    <t>Quantity at the time of Checking</t>
  </si>
  <si>
    <t>Total</t>
  </si>
  <si>
    <t>Bakery Maida</t>
  </si>
  <si>
    <t>Porotta  Maida</t>
  </si>
  <si>
    <t>Jyothi  Maida</t>
  </si>
  <si>
    <t>Plywood Maida</t>
  </si>
  <si>
    <t>Sooji</t>
  </si>
  <si>
    <t xml:space="preserve">Chakki Atta </t>
  </si>
  <si>
    <t>Fine</t>
  </si>
  <si>
    <t>Flakes</t>
  </si>
  <si>
    <t>WHEAT STOCK as on 10.06.22</t>
  </si>
  <si>
    <t>guj tuj new</t>
  </si>
  <si>
    <t>MC guj tuk new</t>
  </si>
  <si>
    <t>mc guj lok new</t>
  </si>
  <si>
    <t>mc guj lok old</t>
  </si>
  <si>
    <t>MC Guj lok</t>
  </si>
  <si>
    <t>raj tuk</t>
  </si>
  <si>
    <t xml:space="preserve">mp lok </t>
  </si>
  <si>
    <t>guj lok new</t>
  </si>
  <si>
    <t>sar tuk new</t>
  </si>
  <si>
    <t>guj mill new</t>
  </si>
  <si>
    <t>Fci</t>
  </si>
  <si>
    <t>fsi cm</t>
  </si>
  <si>
    <t>PRODCUTION</t>
  </si>
  <si>
    <t>PACKING MATERIAL STOCK</t>
  </si>
  <si>
    <t>Vishnu PC</t>
  </si>
  <si>
    <t>Vishnu</t>
  </si>
  <si>
    <t>Daily cls</t>
  </si>
  <si>
    <t>Collection + sales return+discount allowed journals</t>
  </si>
  <si>
    <t xml:space="preserve">Wheat puttu </t>
  </si>
  <si>
    <t>Akhil. C</t>
  </si>
  <si>
    <t>Particulars</t>
  </si>
  <si>
    <t>M/clean Gujarat Lokwan new</t>
  </si>
  <si>
    <t>Qty</t>
  </si>
  <si>
    <t>Op.Stock</t>
  </si>
  <si>
    <t>Purchase</t>
  </si>
  <si>
    <t>Wheat Cut</t>
  </si>
  <si>
    <t>Pur.Return</t>
  </si>
  <si>
    <t>Wheat Sale</t>
  </si>
  <si>
    <t>Cl.Stock</t>
  </si>
  <si>
    <t>Total wheat</t>
  </si>
  <si>
    <t>Akhil.C</t>
  </si>
  <si>
    <t>+</t>
  </si>
  <si>
    <t>NO</t>
  </si>
  <si>
    <t>ITEMS</t>
  </si>
  <si>
    <t>Meat Masala 100gm</t>
  </si>
  <si>
    <t>Chicken Masala 100gm</t>
  </si>
  <si>
    <t>Sambar Powder 100gm</t>
  </si>
  <si>
    <t>Turmeric Powder 100gm</t>
  </si>
  <si>
    <t>Coriander Powder 100gm</t>
  </si>
  <si>
    <t>Chilly Powder 100gm</t>
  </si>
  <si>
    <t>K. Chilly Powder 100gm</t>
  </si>
  <si>
    <t>Fish Masala 100gm</t>
  </si>
  <si>
    <t>Garam Masala 100gm</t>
  </si>
  <si>
    <t>Rasam Powder 100gm</t>
  </si>
  <si>
    <t>Turmeric Powder 250gm</t>
  </si>
  <si>
    <t>Coriander Powder 250gm</t>
  </si>
  <si>
    <t>Chilly Powder 250gm</t>
  </si>
  <si>
    <t>K. Chilly Powder 250gm</t>
  </si>
  <si>
    <t>Turmeric Powder 50gm</t>
  </si>
  <si>
    <t>Chilly Powder 500gm</t>
  </si>
  <si>
    <t>Coriander Powder 500gm</t>
  </si>
  <si>
    <t>Stock</t>
  </si>
  <si>
    <t xml:space="preserve">Pepper powder </t>
  </si>
  <si>
    <t>Spices stock taken at 5:00 PM</t>
  </si>
  <si>
    <t xml:space="preserve">Opening </t>
  </si>
  <si>
    <t>Closing</t>
  </si>
  <si>
    <t>Dust</t>
  </si>
  <si>
    <t>Rajasthan Tukadi  new purchase</t>
  </si>
  <si>
    <t>plain maida</t>
  </si>
  <si>
    <t>Packing plain Atta</t>
  </si>
  <si>
    <t xml:space="preserve">Packing plain maida </t>
  </si>
  <si>
    <t>packing</t>
  </si>
  <si>
    <t>.</t>
  </si>
  <si>
    <t>Guj mill Q</t>
  </si>
  <si>
    <t>Stock taking time :     5:00 pm</t>
  </si>
  <si>
    <t>Guj Tukdi</t>
  </si>
  <si>
    <t xml:space="preserve">Guj tukadi </t>
  </si>
  <si>
    <t>M/clean Gujarat tuk new</t>
  </si>
  <si>
    <t>Guj Lokwan (new)</t>
  </si>
  <si>
    <t xml:space="preserve">                </t>
  </si>
  <si>
    <t>Ganga Nagar wheat</t>
  </si>
  <si>
    <t>FCI wheat FAQ</t>
  </si>
  <si>
    <t>FCI Wheat URS</t>
  </si>
  <si>
    <t xml:space="preserve">SALES  &amp; COLLECTION REPORT </t>
  </si>
  <si>
    <t xml:space="preserve">PRODCUTION  </t>
  </si>
  <si>
    <t>Supplyco</t>
  </si>
  <si>
    <t>RETURN</t>
  </si>
  <si>
    <t xml:space="preserve">Sales </t>
  </si>
  <si>
    <t>Gunny</t>
  </si>
  <si>
    <t>Spices 13-09-2023</t>
  </si>
  <si>
    <t>Actual sale 14-09-2023</t>
  </si>
  <si>
    <t>MOTHERS AGRO FOODS PVT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</si>
</sst>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#,##0.000"/>
    <numFmt numFmtId="166" formatCode="#,##0.000000000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</font>
    <font>
      <b/>
      <sz val="11"/>
      <color rgb="FFC00000"/>
      <name val="Calibri"/>
      <family val="2"/>
    </font>
    <font>
      <b/>
      <sz val="12"/>
      <color rgb="FFC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2" fillId="0" borderId="0" xfId="0" applyFont="1"/>
    <xf numFmtId="0" fontId="4" fillId="0" borderId="5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2" fillId="0" borderId="0" xfId="0" applyFont="1" applyBorder="1"/>
    <xf numFmtId="0" fontId="2" fillId="0" borderId="9" xfId="0" applyFont="1" applyBorder="1"/>
    <xf numFmtId="0" fontId="3" fillId="0" borderId="0" xfId="0" applyFont="1" applyBorder="1" applyAlignment="1">
      <alignment horizontal="left" vertical="center"/>
    </xf>
    <xf numFmtId="3" fontId="3" fillId="0" borderId="0" xfId="0" applyNumberFormat="1" applyFont="1" applyBorder="1" applyAlignment="1" applyProtection="1">
      <alignment vertical="center"/>
      <protection locked="0"/>
    </xf>
    <xf numFmtId="0" fontId="2" fillId="0" borderId="5" xfId="0" applyFont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3" fillId="0" borderId="5" xfId="0" applyFont="1" applyBorder="1" applyAlignment="1" applyProtection="1">
      <alignment vertical="center"/>
      <protection locked="0"/>
    </xf>
    <xf numFmtId="3" fontId="2" fillId="0" borderId="9" xfId="0" applyNumberFormat="1" applyFont="1" applyBorder="1"/>
    <xf numFmtId="0" fontId="3" fillId="0" borderId="5" xfId="0" applyFont="1" applyBorder="1" applyAlignment="1">
      <alignment vertic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3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Fill="1" applyBorder="1"/>
    <xf numFmtId="14" fontId="2" fillId="0" borderId="9" xfId="0" applyNumberFormat="1" applyFont="1" applyBorder="1"/>
    <xf numFmtId="0" fontId="3" fillId="0" borderId="5" xfId="0" applyFont="1" applyBorder="1"/>
    <xf numFmtId="3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0" xfId="0" applyFont="1"/>
    <xf numFmtId="0" fontId="3" fillId="0" borderId="0" xfId="0" applyFont="1" applyBorder="1" applyAlignment="1" applyProtection="1">
      <alignment horizontal="left" vertical="center"/>
      <protection locked="0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 applyProtection="1">
      <alignment horizontal="left" vertical="center"/>
      <protection locked="0"/>
    </xf>
    <xf numFmtId="0" fontId="3" fillId="4" borderId="1" xfId="0" applyFont="1" applyFill="1" applyBorder="1" applyAlignment="1">
      <alignment horizontal="center" vertical="center" wrapText="1"/>
    </xf>
    <xf numFmtId="3" fontId="2" fillId="0" borderId="0" xfId="0" applyNumberFormat="1" applyFont="1"/>
    <xf numFmtId="0" fontId="3" fillId="4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 applyProtection="1">
      <alignment horizontal="left" vertical="center"/>
      <protection locked="0"/>
    </xf>
    <xf numFmtId="165" fontId="3" fillId="0" borderId="0" xfId="0" applyNumberFormat="1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2" fillId="7" borderId="1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  <xf numFmtId="166" fontId="2" fillId="0" borderId="0" xfId="0" applyNumberFormat="1" applyFont="1"/>
    <xf numFmtId="0" fontId="3" fillId="0" borderId="0" xfId="0" applyFont="1" applyFill="1"/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/>
    <xf numFmtId="0" fontId="12" fillId="0" borderId="0" xfId="0" applyFont="1" applyBorder="1"/>
    <xf numFmtId="0" fontId="8" fillId="0" borderId="15" xfId="0" applyFont="1" applyBorder="1" applyAlignment="1">
      <alignment horizontal="center"/>
    </xf>
    <xf numFmtId="0" fontId="12" fillId="0" borderId="16" xfId="0" applyFont="1" applyBorder="1"/>
    <xf numFmtId="0" fontId="2" fillId="0" borderId="5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7" fillId="8" borderId="1" xfId="0" applyFont="1" applyFill="1" applyBorder="1"/>
    <xf numFmtId="0" fontId="7" fillId="0" borderId="15" xfId="0" applyFont="1" applyFill="1" applyBorder="1"/>
    <xf numFmtId="0" fontId="0" fillId="0" borderId="1" xfId="0" applyFill="1" applyBorder="1"/>
    <xf numFmtId="0" fontId="3" fillId="4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2" fillId="3" borderId="0" xfId="0" applyFont="1" applyFill="1" applyBorder="1"/>
    <xf numFmtId="0" fontId="2" fillId="3" borderId="9" xfId="0" applyFont="1" applyFill="1" applyBorder="1"/>
    <xf numFmtId="0" fontId="4" fillId="3" borderId="5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3" borderId="5" xfId="0" applyFont="1" applyFill="1" applyBorder="1" applyAlignment="1" applyProtection="1">
      <alignment vertical="center"/>
      <protection locked="0"/>
    </xf>
    <xf numFmtId="0" fontId="3" fillId="3" borderId="0" xfId="0" applyFont="1" applyFill="1" applyBorder="1" applyAlignment="1" applyProtection="1">
      <alignment horizontal="left" vertical="center"/>
      <protection locked="0"/>
    </xf>
    <xf numFmtId="3" fontId="2" fillId="3" borderId="9" xfId="0" applyNumberFormat="1" applyFont="1" applyFill="1" applyBorder="1"/>
    <xf numFmtId="0" fontId="3" fillId="3" borderId="5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left"/>
    </xf>
    <xf numFmtId="0" fontId="3" fillId="3" borderId="0" xfId="0" applyFont="1" applyFill="1" applyBorder="1"/>
    <xf numFmtId="0" fontId="3" fillId="3" borderId="0" xfId="0" applyFont="1" applyFill="1" applyBorder="1" applyAlignment="1">
      <alignment horizontal="center"/>
    </xf>
    <xf numFmtId="3" fontId="3" fillId="3" borderId="0" xfId="0" applyNumberFormat="1" applyFont="1" applyFill="1" applyBorder="1" applyAlignment="1">
      <alignment horizontal="center"/>
    </xf>
    <xf numFmtId="0" fontId="3" fillId="3" borderId="0" xfId="0" applyFont="1" applyFill="1" applyBorder="1" applyAlignment="1">
      <alignment vertical="center" wrapText="1"/>
    </xf>
    <xf numFmtId="14" fontId="2" fillId="3" borderId="9" xfId="0" applyNumberFormat="1" applyFont="1" applyFill="1" applyBorder="1"/>
    <xf numFmtId="0" fontId="3" fillId="3" borderId="5" xfId="0" applyFont="1" applyFill="1" applyBorder="1"/>
    <xf numFmtId="3" fontId="3" fillId="3" borderId="0" xfId="0" applyNumberFormat="1" applyFont="1" applyFill="1" applyBorder="1" applyAlignment="1" applyProtection="1">
      <alignment horizontal="center" vertical="center" wrapText="1"/>
      <protection locked="0"/>
    </xf>
    <xf numFmtId="3" fontId="3" fillId="3" borderId="0" xfId="0" applyNumberFormat="1" applyFont="1" applyFill="1" applyBorder="1" applyAlignment="1" applyProtection="1">
      <alignment horizontal="center" vertical="center"/>
      <protection locked="0"/>
    </xf>
    <xf numFmtId="3" fontId="3" fillId="3" borderId="0" xfId="0" applyNumberFormat="1" applyFont="1" applyFill="1" applyBorder="1" applyAlignment="1">
      <alignment horizontal="center" vertical="top" wrapText="1"/>
    </xf>
    <xf numFmtId="0" fontId="0" fillId="0" borderId="0" xfId="0" applyFill="1"/>
    <xf numFmtId="3" fontId="3" fillId="3" borderId="0" xfId="0" applyNumberFormat="1" applyFont="1" applyFill="1" applyBorder="1" applyAlignment="1" applyProtection="1">
      <alignment horizontal="center" vertical="center" wrapText="1"/>
      <protection locked="0"/>
    </xf>
    <xf numFmtId="3" fontId="3" fillId="3" borderId="0" xfId="0" applyNumberFormat="1" applyFont="1" applyFill="1" applyBorder="1" applyAlignment="1" applyProtection="1">
      <alignment horizontal="center" vertical="center"/>
      <protection locked="0"/>
    </xf>
    <xf numFmtId="3" fontId="3" fillId="3" borderId="0" xfId="0" applyNumberFormat="1" applyFont="1" applyFill="1" applyBorder="1" applyAlignment="1">
      <alignment horizontal="center" vertical="top" wrapText="1"/>
    </xf>
    <xf numFmtId="0" fontId="17" fillId="4" borderId="6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/>
    </xf>
    <xf numFmtId="0" fontId="13" fillId="0" borderId="1" xfId="0" applyFont="1" applyBorder="1"/>
    <xf numFmtId="0" fontId="14" fillId="8" borderId="1" xfId="0" applyFont="1" applyFill="1" applyBorder="1"/>
    <xf numFmtId="4" fontId="2" fillId="0" borderId="0" xfId="0" applyNumberFormat="1" applyFont="1"/>
    <xf numFmtId="0" fontId="18" fillId="3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14" fontId="3" fillId="0" borderId="5" xfId="0" applyNumberFormat="1" applyFont="1" applyBorder="1" applyAlignment="1" applyProtection="1">
      <alignment horizontal="center" vertical="center"/>
      <protection locked="0"/>
    </xf>
    <xf numFmtId="14" fontId="3" fillId="0" borderId="4" xfId="0" applyNumberFormat="1" applyFont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3" fontId="3" fillId="0" borderId="1" xfId="0" applyNumberFormat="1" applyFont="1" applyBorder="1" applyAlignment="1" applyProtection="1">
      <alignment horizontal="center" vertical="center"/>
      <protection locked="0"/>
    </xf>
    <xf numFmtId="3" fontId="3" fillId="0" borderId="8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  <protection locked="0"/>
    </xf>
    <xf numFmtId="0" fontId="3" fillId="0" borderId="0" xfId="0" applyFont="1" applyBorder="1" applyAlignment="1" applyProtection="1">
      <alignment horizontal="left" vertical="center"/>
      <protection locked="0"/>
    </xf>
    <xf numFmtId="0" fontId="3" fillId="0" borderId="9" xfId="0" applyFont="1" applyBorder="1" applyAlignment="1" applyProtection="1">
      <alignment horizontal="left" vertical="center"/>
      <protection locked="0"/>
    </xf>
    <xf numFmtId="3" fontId="3" fillId="0" borderId="6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0" borderId="6" xfId="0" applyNumberFormat="1" applyFont="1" applyBorder="1" applyAlignment="1" applyProtection="1">
      <alignment horizontal="center" vertical="center"/>
      <protection locked="0"/>
    </xf>
    <xf numFmtId="3" fontId="3" fillId="0" borderId="7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3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3" fontId="3" fillId="0" borderId="0" xfId="0" applyNumberFormat="1" applyFont="1" applyFill="1" applyBorder="1" applyAlignment="1" applyProtection="1">
      <alignment horizontal="center" vertical="center"/>
      <protection locked="0"/>
    </xf>
    <xf numFmtId="3" fontId="3" fillId="0" borderId="10" xfId="0" applyNumberFormat="1" applyFont="1" applyFill="1" applyBorder="1" applyAlignment="1" applyProtection="1">
      <alignment horizontal="center" vertical="center"/>
      <protection locked="0"/>
    </xf>
    <xf numFmtId="3" fontId="3" fillId="0" borderId="3" xfId="0" applyNumberFormat="1" applyFont="1" applyBorder="1" applyAlignment="1">
      <alignment horizontal="center" vertical="top" wrapText="1"/>
    </xf>
    <xf numFmtId="3" fontId="3" fillId="0" borderId="10" xfId="0" applyNumberFormat="1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4" fontId="3" fillId="0" borderId="7" xfId="0" applyNumberFormat="1" applyFont="1" applyBorder="1" applyAlignment="1"/>
    <xf numFmtId="14" fontId="3" fillId="0" borderId="8" xfId="0" applyNumberFormat="1" applyFont="1" applyBorder="1" applyAlignment="1"/>
    <xf numFmtId="0" fontId="3" fillId="0" borderId="0" xfId="0" applyFont="1" applyFill="1" applyBorder="1" applyAlignment="1" applyProtection="1">
      <alignment horizontal="center" vertical="center"/>
      <protection locked="0"/>
    </xf>
    <xf numFmtId="0" fontId="3" fillId="0" borderId="9" xfId="0" applyFont="1" applyFill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0" fontId="3" fillId="2" borderId="6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0" fontId="3" fillId="2" borderId="8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49" fontId="3" fillId="4" borderId="13" xfId="0" applyNumberFormat="1" applyFont="1" applyFill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center" vertical="center" wrapText="1"/>
    </xf>
    <xf numFmtId="49" fontId="3" fillId="4" borderId="14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horizontal="center" vertical="center" wrapText="1"/>
    </xf>
    <xf numFmtId="0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center" vertical="center" wrapText="1"/>
    </xf>
    <xf numFmtId="0" fontId="15" fillId="3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 applyProtection="1">
      <alignment horizontal="center" vertical="center"/>
      <protection locked="0"/>
    </xf>
    <xf numFmtId="0" fontId="3" fillId="3" borderId="0" xfId="0" applyFont="1" applyFill="1" applyBorder="1" applyAlignment="1" applyProtection="1">
      <alignment horizontal="left" vertical="center"/>
      <protection locked="0"/>
    </xf>
    <xf numFmtId="0" fontId="3" fillId="3" borderId="9" xfId="0" applyFont="1" applyFill="1" applyBorder="1" applyAlignment="1" applyProtection="1">
      <alignment horizontal="left" vertical="center"/>
      <protection locked="0"/>
    </xf>
    <xf numFmtId="3" fontId="3" fillId="3" borderId="6" xfId="0" applyNumberFormat="1" applyFont="1" applyFill="1" applyBorder="1" applyAlignment="1">
      <alignment horizontal="center"/>
    </xf>
    <xf numFmtId="3" fontId="3" fillId="3" borderId="7" xfId="0" applyNumberFormat="1" applyFont="1" applyFill="1" applyBorder="1" applyAlignment="1">
      <alignment horizontal="center"/>
    </xf>
    <xf numFmtId="3" fontId="3" fillId="3" borderId="8" xfId="0" applyNumberFormat="1" applyFont="1" applyFill="1" applyBorder="1" applyAlignment="1">
      <alignment horizontal="center"/>
    </xf>
    <xf numFmtId="0" fontId="3" fillId="3" borderId="1" xfId="0" applyNumberFormat="1" applyFont="1" applyFill="1" applyBorder="1" applyAlignment="1">
      <alignment horizontal="center"/>
    </xf>
    <xf numFmtId="0" fontId="19" fillId="3" borderId="6" xfId="0" applyNumberFormat="1" applyFont="1" applyFill="1" applyBorder="1" applyAlignment="1">
      <alignment horizontal="center" vertical="center" wrapText="1"/>
    </xf>
    <xf numFmtId="0" fontId="19" fillId="3" borderId="8" xfId="0" applyNumberFormat="1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3" fillId="3" borderId="1" xfId="0" applyNumberFormat="1" applyFont="1" applyFill="1" applyBorder="1" applyAlignment="1">
      <alignment horizontal="center" vertical="center" wrapText="1"/>
    </xf>
    <xf numFmtId="3" fontId="3" fillId="3" borderId="0" xfId="0" applyNumberFormat="1" applyFont="1" applyFill="1" applyBorder="1" applyAlignment="1" applyProtection="1">
      <alignment horizontal="center" vertical="center" wrapText="1"/>
      <protection locked="0"/>
    </xf>
    <xf numFmtId="3" fontId="3" fillId="3" borderId="0" xfId="0" applyNumberFormat="1" applyFont="1" applyFill="1" applyBorder="1" applyAlignment="1" applyProtection="1">
      <alignment horizontal="center" vertical="center"/>
      <protection locked="0"/>
    </xf>
    <xf numFmtId="3" fontId="3" fillId="3" borderId="0" xfId="0" applyNumberFormat="1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 applyProtection="1">
      <alignment horizontal="center" vertical="center"/>
      <protection locked="0"/>
    </xf>
    <xf numFmtId="0" fontId="3" fillId="3" borderId="9" xfId="0" applyFont="1" applyFill="1" applyBorder="1" applyAlignment="1" applyProtection="1">
      <alignment horizontal="center" vertical="center"/>
      <protection locked="0"/>
    </xf>
    <xf numFmtId="3" fontId="3" fillId="3" borderId="1" xfId="0" applyNumberFormat="1" applyFont="1" applyFill="1" applyBorder="1" applyAlignment="1">
      <alignment horizontal="center"/>
    </xf>
    <xf numFmtId="3" fontId="3" fillId="3" borderId="6" xfId="0" applyNumberFormat="1" applyFont="1" applyFill="1" applyBorder="1" applyAlignment="1" applyProtection="1">
      <alignment horizontal="center" vertical="center"/>
      <protection locked="0"/>
    </xf>
    <xf numFmtId="3" fontId="3" fillId="3" borderId="8" xfId="0" applyNumberFormat="1" applyFont="1" applyFill="1" applyBorder="1" applyAlignment="1" applyProtection="1">
      <alignment horizontal="center" vertical="center"/>
      <protection locked="0"/>
    </xf>
    <xf numFmtId="0" fontId="3" fillId="3" borderId="5" xfId="0" applyFont="1" applyFill="1" applyBorder="1" applyAlignment="1" applyProtection="1">
      <alignment horizontal="left" vertical="center"/>
      <protection locked="0"/>
    </xf>
    <xf numFmtId="0" fontId="3" fillId="0" borderId="0" xfId="0" applyFont="1" applyBorder="1" applyAlignment="1">
      <alignment horizontal="right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 applyProtection="1">
      <alignment horizontal="center" vertical="center"/>
      <protection locked="0"/>
    </xf>
    <xf numFmtId="0" fontId="3" fillId="2" borderId="14" xfId="0" applyNumberFormat="1" applyFont="1" applyFill="1" applyBorder="1" applyAlignment="1">
      <alignment horizontal="center" vertical="center"/>
    </xf>
    <xf numFmtId="14" fontId="3" fillId="2" borderId="6" xfId="0" applyNumberFormat="1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60"/>
  <sheetViews>
    <sheetView topLeftCell="A5" workbookViewId="0">
      <selection activeCell="J13" sqref="J13:L13"/>
    </sheetView>
  </sheetViews>
  <sheetFormatPr defaultRowHeight="15" x14ac:dyDescent="0.25"/>
  <cols>
    <col min="1" max="1" width="14.5703125" customWidth="1"/>
    <col min="18" max="19" width="10.140625" bestFit="1" customWidth="1"/>
  </cols>
  <sheetData>
    <row r="2" spans="1:19" s="1" customFormat="1" ht="15.75" x14ac:dyDescent="0.25">
      <c r="A2" s="97" t="s">
        <v>0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</row>
    <row r="3" spans="1:19" s="31" customFormat="1" x14ac:dyDescent="0.25">
      <c r="A3" s="98" t="s">
        <v>1</v>
      </c>
      <c r="B3" s="99"/>
      <c r="C3" s="100"/>
      <c r="D3" s="101" t="s">
        <v>61</v>
      </c>
      <c r="E3" s="102"/>
      <c r="F3" s="103" t="s">
        <v>2</v>
      </c>
      <c r="G3" s="104"/>
      <c r="H3" s="104"/>
      <c r="I3" s="104"/>
      <c r="J3" s="104"/>
      <c r="K3" s="105"/>
      <c r="L3" s="106">
        <v>44756</v>
      </c>
      <c r="M3" s="107"/>
    </row>
    <row r="4" spans="1:19" s="1" customFormat="1" x14ac:dyDescent="0.25">
      <c r="A4" s="108" t="s">
        <v>3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10"/>
    </row>
    <row r="5" spans="1:19" s="1" customFormat="1" x14ac:dyDescent="0.25">
      <c r="A5" s="2"/>
      <c r="B5" s="3"/>
      <c r="C5" s="3"/>
      <c r="D5" s="3">
        <v>281</v>
      </c>
      <c r="E5" s="3"/>
      <c r="F5" s="4"/>
      <c r="G5" s="4"/>
      <c r="H5" s="4"/>
      <c r="I5" s="4"/>
      <c r="J5" s="4"/>
      <c r="K5" s="4"/>
      <c r="L5" s="4"/>
      <c r="M5" s="5"/>
      <c r="Q5" s="1">
        <v>100000</v>
      </c>
      <c r="R5" s="36">
        <f>+J16-Q5</f>
        <v>47992624.549999997</v>
      </c>
    </row>
    <row r="6" spans="1:19" s="1" customFormat="1" x14ac:dyDescent="0.25">
      <c r="A6" s="6" t="s">
        <v>4</v>
      </c>
      <c r="B6" s="7"/>
      <c r="C6" s="120"/>
      <c r="D6" s="121"/>
      <c r="E6" s="113"/>
      <c r="F6" s="122" t="s">
        <v>5</v>
      </c>
      <c r="G6" s="123"/>
      <c r="H6" s="117"/>
      <c r="I6" s="118"/>
      <c r="J6" s="118"/>
      <c r="K6" s="118"/>
      <c r="L6" s="119"/>
      <c r="M6" s="5"/>
    </row>
    <row r="7" spans="1:19" s="1" customFormat="1" x14ac:dyDescent="0.25">
      <c r="A7" s="8" t="s">
        <v>63</v>
      </c>
      <c r="B7" s="9"/>
      <c r="C7" s="9"/>
      <c r="D7" s="9"/>
      <c r="E7" s="9"/>
      <c r="F7" s="10"/>
      <c r="G7" s="10"/>
      <c r="H7" s="10"/>
      <c r="I7" s="4"/>
      <c r="J7" s="4"/>
      <c r="K7" s="4"/>
      <c r="L7" s="4"/>
      <c r="M7" s="5"/>
    </row>
    <row r="8" spans="1:19" s="1" customFormat="1" x14ac:dyDescent="0.25">
      <c r="A8" s="108" t="s">
        <v>6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10"/>
    </row>
    <row r="9" spans="1:19" s="1" customFormat="1" x14ac:dyDescent="0.25">
      <c r="A9" s="11"/>
      <c r="B9" s="12"/>
      <c r="C9" s="12"/>
      <c r="D9" s="12"/>
      <c r="E9" s="12"/>
      <c r="F9" s="13"/>
      <c r="G9" s="4"/>
      <c r="H9" s="4"/>
      <c r="I9" s="4"/>
      <c r="J9" s="4"/>
      <c r="K9" s="4"/>
      <c r="L9" s="4"/>
      <c r="M9" s="5"/>
    </row>
    <row r="10" spans="1:19" s="1" customFormat="1" x14ac:dyDescent="0.25">
      <c r="A10" s="14" t="s">
        <v>7</v>
      </c>
      <c r="B10" s="111">
        <v>8056</v>
      </c>
      <c r="C10" s="111"/>
      <c r="D10" s="32" t="s">
        <v>8</v>
      </c>
      <c r="E10" s="112">
        <v>24439</v>
      </c>
      <c r="F10" s="113"/>
      <c r="G10" s="114" t="s">
        <v>9</v>
      </c>
      <c r="H10" s="115"/>
      <c r="I10" s="116"/>
      <c r="J10" s="117">
        <v>49126964.380000003</v>
      </c>
      <c r="K10" s="118"/>
      <c r="L10" s="119"/>
      <c r="M10" s="15"/>
      <c r="P10" s="117">
        <v>48092624.550000004</v>
      </c>
      <c r="Q10" s="118"/>
      <c r="R10" s="119"/>
    </row>
    <row r="11" spans="1:19" s="1" customFormat="1" x14ac:dyDescent="0.25">
      <c r="A11" s="14" t="s">
        <v>10</v>
      </c>
      <c r="B11" s="111">
        <v>18240</v>
      </c>
      <c r="C11" s="111"/>
      <c r="D11" s="32" t="s">
        <v>11</v>
      </c>
      <c r="E11" s="112">
        <f>1336826-24439</f>
        <v>1312387</v>
      </c>
      <c r="F11" s="113"/>
      <c r="G11" s="114" t="s">
        <v>12</v>
      </c>
      <c r="H11" s="115"/>
      <c r="I11" s="116"/>
      <c r="J11" s="117">
        <v>0</v>
      </c>
      <c r="K11" s="118"/>
      <c r="L11" s="119"/>
      <c r="M11" s="15"/>
      <c r="N11" s="1">
        <v>0</v>
      </c>
      <c r="P11" s="117">
        <v>100000</v>
      </c>
      <c r="Q11" s="118"/>
      <c r="R11" s="119"/>
      <c r="S11" s="36">
        <f>++P10-P11</f>
        <v>47992624.550000004</v>
      </c>
    </row>
    <row r="12" spans="1:19" s="1" customFormat="1" x14ac:dyDescent="0.25">
      <c r="A12" s="16" t="s">
        <v>13</v>
      </c>
      <c r="B12" s="111">
        <v>19101</v>
      </c>
      <c r="C12" s="111"/>
      <c r="D12" s="33" t="s">
        <v>14</v>
      </c>
      <c r="E12" s="120">
        <f>+E11+E10</f>
        <v>1336826</v>
      </c>
      <c r="F12" s="113"/>
      <c r="G12" s="114" t="s">
        <v>15</v>
      </c>
      <c r="H12" s="115"/>
      <c r="I12" s="116"/>
      <c r="J12" s="117">
        <v>1213945</v>
      </c>
      <c r="K12" s="118"/>
      <c r="L12" s="119"/>
      <c r="M12" s="15"/>
      <c r="P12" s="117">
        <v>1213945</v>
      </c>
      <c r="Q12" s="118"/>
      <c r="R12" s="119"/>
    </row>
    <row r="13" spans="1:19" s="1" customFormat="1" x14ac:dyDescent="0.25">
      <c r="A13" s="18" t="s">
        <v>16</v>
      </c>
      <c r="B13" s="111"/>
      <c r="C13" s="111"/>
      <c r="D13" s="17"/>
      <c r="E13" s="19"/>
      <c r="F13" s="20"/>
      <c r="G13" s="115" t="s">
        <v>17</v>
      </c>
      <c r="H13" s="115"/>
      <c r="I13" s="116"/>
      <c r="J13" s="117">
        <v>2248284.83</v>
      </c>
      <c r="K13" s="118"/>
      <c r="L13" s="119"/>
      <c r="M13" s="5"/>
      <c r="N13" s="1" t="s">
        <v>64</v>
      </c>
      <c r="P13" s="117">
        <f>2248284.83-22000</f>
        <v>2226284.83</v>
      </c>
      <c r="Q13" s="118"/>
      <c r="R13" s="119"/>
    </row>
    <row r="14" spans="1:19" s="1" customFormat="1" x14ac:dyDescent="0.25">
      <c r="A14" s="18" t="s">
        <v>18</v>
      </c>
      <c r="B14" s="111">
        <v>3126.5</v>
      </c>
      <c r="C14" s="111"/>
      <c r="D14" s="4"/>
      <c r="E14" s="4"/>
      <c r="F14" s="4"/>
      <c r="G14" s="115" t="s">
        <v>19</v>
      </c>
      <c r="H14" s="115"/>
      <c r="I14" s="116"/>
      <c r="J14" s="117">
        <v>0</v>
      </c>
      <c r="K14" s="118"/>
      <c r="L14" s="119"/>
      <c r="M14" s="5"/>
      <c r="N14" s="1">
        <v>22000</v>
      </c>
      <c r="P14" s="117">
        <v>22000</v>
      </c>
      <c r="Q14" s="118"/>
      <c r="R14" s="119"/>
    </row>
    <row r="15" spans="1:19" s="1" customFormat="1" x14ac:dyDescent="0.25">
      <c r="A15" s="18" t="s">
        <v>20</v>
      </c>
      <c r="B15" s="111">
        <v>2.5</v>
      </c>
      <c r="C15" s="111"/>
      <c r="D15" s="4"/>
      <c r="E15" s="4"/>
      <c r="F15" s="4"/>
      <c r="G15" s="115" t="s">
        <v>21</v>
      </c>
      <c r="H15" s="115"/>
      <c r="I15" s="116"/>
      <c r="J15" s="117">
        <f>+J10+J12-J11-J13-J14</f>
        <v>48092624.550000004</v>
      </c>
      <c r="K15" s="118"/>
      <c r="L15" s="119"/>
      <c r="M15" s="5"/>
      <c r="P15" s="117">
        <f>+P10+P12-P11-P13-P14</f>
        <v>46958284.720000006</v>
      </c>
      <c r="Q15" s="118"/>
      <c r="R15" s="119"/>
    </row>
    <row r="16" spans="1:19" s="1" customFormat="1" x14ac:dyDescent="0.25">
      <c r="A16" s="21" t="s">
        <v>22</v>
      </c>
      <c r="B16" s="124">
        <v>20</v>
      </c>
      <c r="C16" s="124"/>
      <c r="D16" s="4"/>
      <c r="E16" s="4"/>
      <c r="F16" s="4"/>
      <c r="G16" s="115" t="s">
        <v>23</v>
      </c>
      <c r="H16" s="115"/>
      <c r="I16" s="116"/>
      <c r="J16" s="117">
        <v>48092624.549999997</v>
      </c>
      <c r="K16" s="118"/>
      <c r="L16" s="119"/>
      <c r="M16" s="5"/>
      <c r="P16" s="117">
        <v>48092625</v>
      </c>
      <c r="Q16" s="118"/>
      <c r="R16" s="119"/>
    </row>
    <row r="17" spans="1:18" s="1" customFormat="1" x14ac:dyDescent="0.25">
      <c r="A17" s="18" t="s">
        <v>24</v>
      </c>
      <c r="B17" s="111"/>
      <c r="C17" s="111"/>
      <c r="D17" s="4"/>
      <c r="E17" s="18"/>
      <c r="F17" s="4"/>
      <c r="G17" s="115" t="s">
        <v>25</v>
      </c>
      <c r="H17" s="115"/>
      <c r="I17" s="116"/>
      <c r="J17" s="117">
        <f>J15-J16</f>
        <v>0</v>
      </c>
      <c r="K17" s="118"/>
      <c r="L17" s="119"/>
      <c r="M17" s="5"/>
      <c r="P17" s="117">
        <f>P15-P16</f>
        <v>-1134340.2799999937</v>
      </c>
      <c r="Q17" s="118"/>
      <c r="R17" s="119"/>
    </row>
    <row r="18" spans="1:18" s="1" customFormat="1" x14ac:dyDescent="0.25">
      <c r="A18" s="18" t="s">
        <v>26</v>
      </c>
      <c r="B18" s="111"/>
      <c r="C18" s="111"/>
      <c r="D18" s="4"/>
      <c r="E18" s="140" t="s">
        <v>27</v>
      </c>
      <c r="F18" s="140"/>
      <c r="G18" s="140"/>
      <c r="H18" s="140"/>
      <c r="I18" s="141"/>
      <c r="J18" s="117"/>
      <c r="K18" s="118"/>
      <c r="L18" s="119"/>
      <c r="M18" s="22"/>
      <c r="P18" s="117"/>
      <c r="Q18" s="118"/>
      <c r="R18" s="119"/>
    </row>
    <row r="19" spans="1:18" s="1" customFormat="1" x14ac:dyDescent="0.25">
      <c r="A19" s="23" t="s">
        <v>28</v>
      </c>
      <c r="B19" s="125">
        <f>SUM(B10:C18)</f>
        <v>48546</v>
      </c>
      <c r="C19" s="126"/>
      <c r="D19" s="4"/>
      <c r="E19" s="127"/>
      <c r="F19" s="128"/>
      <c r="G19" s="128"/>
      <c r="H19" s="128"/>
      <c r="I19" s="128"/>
      <c r="J19" s="130"/>
      <c r="K19" s="130"/>
      <c r="L19" s="130"/>
      <c r="M19" s="5"/>
    </row>
    <row r="20" spans="1:18" s="1" customFormat="1" x14ac:dyDescent="0.25">
      <c r="A20" s="23"/>
      <c r="B20" s="24"/>
      <c r="C20" s="25"/>
      <c r="D20" s="4"/>
      <c r="E20" s="129"/>
      <c r="F20" s="129"/>
      <c r="G20" s="129"/>
      <c r="H20" s="129"/>
      <c r="I20" s="129"/>
      <c r="J20" s="131"/>
      <c r="K20" s="131"/>
      <c r="L20" s="131"/>
      <c r="M20" s="5"/>
    </row>
    <row r="21" spans="1:18" s="1" customFormat="1" x14ac:dyDescent="0.25">
      <c r="A21" s="108" t="s">
        <v>29</v>
      </c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10"/>
    </row>
    <row r="22" spans="1:18" s="1" customFormat="1" x14ac:dyDescent="0.25">
      <c r="A22" s="132" t="s">
        <v>30</v>
      </c>
      <c r="B22" s="133"/>
      <c r="C22" s="134"/>
      <c r="D22" s="135" t="s">
        <v>62</v>
      </c>
      <c r="E22" s="136"/>
      <c r="F22" s="135" t="s">
        <v>31</v>
      </c>
      <c r="G22" s="137"/>
      <c r="H22" s="138">
        <v>44756</v>
      </c>
      <c r="I22" s="138"/>
      <c r="J22" s="138"/>
      <c r="K22" s="138"/>
      <c r="L22" s="138"/>
      <c r="M22" s="139"/>
    </row>
    <row r="23" spans="1:18" s="1" customFormat="1" x14ac:dyDescent="0.25">
      <c r="A23" s="145" t="s">
        <v>32</v>
      </c>
      <c r="B23" s="146"/>
      <c r="C23" s="146"/>
      <c r="D23" s="147"/>
      <c r="E23" s="145" t="s">
        <v>33</v>
      </c>
      <c r="F23" s="146"/>
      <c r="G23" s="146"/>
      <c r="H23" s="146"/>
      <c r="I23" s="146"/>
      <c r="J23" s="146"/>
      <c r="K23" s="146"/>
      <c r="L23" s="146"/>
      <c r="M23" s="147"/>
    </row>
    <row r="24" spans="1:18" s="1" customFormat="1" hidden="1" x14ac:dyDescent="0.25">
      <c r="A24" s="148" t="s">
        <v>34</v>
      </c>
      <c r="B24" s="150" t="s">
        <v>35</v>
      </c>
      <c r="C24" s="151"/>
      <c r="D24" s="152"/>
      <c r="E24" s="156" t="s">
        <v>36</v>
      </c>
      <c r="F24" s="157"/>
      <c r="G24" s="157"/>
      <c r="H24" s="157"/>
      <c r="I24" s="157"/>
      <c r="J24" s="157"/>
      <c r="K24" s="157"/>
      <c r="L24" s="157"/>
      <c r="M24" s="158"/>
    </row>
    <row r="25" spans="1:18" s="1" customFormat="1" hidden="1" x14ac:dyDescent="0.25">
      <c r="A25" s="149"/>
      <c r="B25" s="153"/>
      <c r="C25" s="154"/>
      <c r="D25" s="155"/>
      <c r="E25" s="26">
        <v>50</v>
      </c>
      <c r="F25" s="26">
        <v>25</v>
      </c>
      <c r="G25" s="26">
        <v>10</v>
      </c>
      <c r="H25" s="26">
        <v>34</v>
      </c>
      <c r="I25" s="26">
        <v>5</v>
      </c>
      <c r="J25" s="26">
        <v>1</v>
      </c>
      <c r="K25" s="26">
        <v>500</v>
      </c>
      <c r="L25" s="159" t="s">
        <v>37</v>
      </c>
      <c r="M25" s="160"/>
    </row>
    <row r="26" spans="1:18" s="1" customFormat="1" hidden="1" x14ac:dyDescent="0.25">
      <c r="A26" s="27">
        <v>1</v>
      </c>
      <c r="B26" s="142" t="s">
        <v>38</v>
      </c>
      <c r="C26" s="143"/>
      <c r="D26" s="144"/>
      <c r="E26" s="27"/>
      <c r="F26" s="27"/>
      <c r="G26" s="27"/>
      <c r="H26" s="27"/>
      <c r="I26" s="27"/>
      <c r="J26" s="27"/>
      <c r="K26" s="27"/>
      <c r="L26" s="132">
        <f>SUM(E26:K26)</f>
        <v>0</v>
      </c>
      <c r="M26" s="134"/>
    </row>
    <row r="27" spans="1:18" s="1" customFormat="1" hidden="1" x14ac:dyDescent="0.25">
      <c r="A27" s="27">
        <v>2</v>
      </c>
      <c r="B27" s="142" t="s">
        <v>39</v>
      </c>
      <c r="C27" s="143"/>
      <c r="D27" s="144"/>
      <c r="E27" s="27"/>
      <c r="F27" s="27"/>
      <c r="G27" s="27"/>
      <c r="H27" s="27"/>
      <c r="I27" s="27"/>
      <c r="J27" s="27"/>
      <c r="K27" s="27"/>
      <c r="L27" s="132">
        <f t="shared" ref="L27:L34" si="0">SUM(E27:K27)</f>
        <v>0</v>
      </c>
      <c r="M27" s="134"/>
    </row>
    <row r="28" spans="1:18" s="1" customFormat="1" hidden="1" x14ac:dyDescent="0.25">
      <c r="A28" s="27">
        <v>3</v>
      </c>
      <c r="B28" s="142" t="s">
        <v>40</v>
      </c>
      <c r="C28" s="143"/>
      <c r="D28" s="144"/>
      <c r="E28" s="27"/>
      <c r="F28" s="27"/>
      <c r="G28" s="27"/>
      <c r="H28" s="27"/>
      <c r="I28" s="27"/>
      <c r="J28" s="27"/>
      <c r="K28" s="27"/>
      <c r="L28" s="132">
        <f t="shared" si="0"/>
        <v>0</v>
      </c>
      <c r="M28" s="134"/>
    </row>
    <row r="29" spans="1:18" s="1" customFormat="1" hidden="1" x14ac:dyDescent="0.25">
      <c r="A29" s="27">
        <v>4</v>
      </c>
      <c r="B29" s="142" t="s">
        <v>41</v>
      </c>
      <c r="C29" s="143"/>
      <c r="D29" s="144"/>
      <c r="E29" s="27"/>
      <c r="F29" s="27"/>
      <c r="G29" s="27"/>
      <c r="H29" s="27"/>
      <c r="I29" s="27"/>
      <c r="J29" s="27"/>
      <c r="K29" s="27"/>
      <c r="L29" s="132">
        <f t="shared" si="0"/>
        <v>0</v>
      </c>
      <c r="M29" s="134"/>
    </row>
    <row r="30" spans="1:18" s="1" customFormat="1" hidden="1" x14ac:dyDescent="0.25">
      <c r="A30" s="27">
        <v>5</v>
      </c>
      <c r="B30" s="142" t="s">
        <v>42</v>
      </c>
      <c r="C30" s="143"/>
      <c r="D30" s="144"/>
      <c r="E30" s="27"/>
      <c r="F30" s="27"/>
      <c r="G30" s="27"/>
      <c r="H30" s="27"/>
      <c r="I30" s="27"/>
      <c r="J30" s="27"/>
      <c r="K30" s="27"/>
      <c r="L30" s="132">
        <f t="shared" si="0"/>
        <v>0</v>
      </c>
      <c r="M30" s="134"/>
    </row>
    <row r="31" spans="1:18" s="1" customFormat="1" hidden="1" x14ac:dyDescent="0.25">
      <c r="A31" s="27">
        <v>6</v>
      </c>
      <c r="B31" s="142" t="s">
        <v>7</v>
      </c>
      <c r="C31" s="143"/>
      <c r="D31" s="144"/>
      <c r="E31" s="27"/>
      <c r="F31" s="27"/>
      <c r="G31" s="27"/>
      <c r="H31" s="27"/>
      <c r="I31" s="27"/>
      <c r="J31" s="27"/>
      <c r="K31" s="27"/>
      <c r="L31" s="132">
        <f t="shared" si="0"/>
        <v>0</v>
      </c>
      <c r="M31" s="134"/>
    </row>
    <row r="32" spans="1:18" s="1" customFormat="1" hidden="1" x14ac:dyDescent="0.25">
      <c r="A32" s="27">
        <v>7</v>
      </c>
      <c r="B32" s="142" t="s">
        <v>43</v>
      </c>
      <c r="C32" s="143"/>
      <c r="D32" s="144"/>
      <c r="E32" s="27"/>
      <c r="F32" s="27"/>
      <c r="G32" s="27"/>
      <c r="H32" s="27"/>
      <c r="I32" s="27"/>
      <c r="J32" s="27"/>
      <c r="K32" s="27"/>
      <c r="L32" s="132">
        <f t="shared" si="0"/>
        <v>0</v>
      </c>
      <c r="M32" s="134"/>
    </row>
    <row r="33" spans="1:13" s="1" customFormat="1" hidden="1" x14ac:dyDescent="0.25">
      <c r="A33" s="27">
        <v>8</v>
      </c>
      <c r="B33" s="142" t="s">
        <v>44</v>
      </c>
      <c r="C33" s="143"/>
      <c r="D33" s="144"/>
      <c r="E33" s="27"/>
      <c r="F33" s="27"/>
      <c r="G33" s="27"/>
      <c r="H33" s="27"/>
      <c r="I33" s="27"/>
      <c r="J33" s="27"/>
      <c r="K33" s="27"/>
      <c r="L33" s="132">
        <f t="shared" si="0"/>
        <v>0</v>
      </c>
      <c r="M33" s="134"/>
    </row>
    <row r="34" spans="1:13" s="1" customFormat="1" hidden="1" x14ac:dyDescent="0.25">
      <c r="A34" s="27">
        <v>9</v>
      </c>
      <c r="B34" s="142" t="s">
        <v>45</v>
      </c>
      <c r="C34" s="143"/>
      <c r="D34" s="144"/>
      <c r="E34" s="28"/>
      <c r="F34" s="27"/>
      <c r="G34" s="27"/>
      <c r="H34" s="27"/>
      <c r="I34" s="27"/>
      <c r="J34" s="27"/>
      <c r="K34" s="27"/>
      <c r="L34" s="132">
        <f t="shared" si="0"/>
        <v>0</v>
      </c>
      <c r="M34" s="134"/>
    </row>
    <row r="35" spans="1:13" s="1" customFormat="1" x14ac:dyDescent="0.25">
      <c r="A35" s="108" t="s">
        <v>46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10"/>
    </row>
    <row r="36" spans="1:13" s="1" customFormat="1" ht="30" x14ac:dyDescent="0.25">
      <c r="A36" s="29" t="s">
        <v>47</v>
      </c>
      <c r="B36" s="29" t="s">
        <v>48</v>
      </c>
      <c r="C36" s="29" t="s">
        <v>49</v>
      </c>
      <c r="D36" s="29" t="s">
        <v>50</v>
      </c>
      <c r="E36" s="29" t="s">
        <v>51</v>
      </c>
      <c r="F36" s="29" t="s">
        <v>52</v>
      </c>
      <c r="G36" s="29" t="s">
        <v>53</v>
      </c>
      <c r="H36" s="29">
        <v>1544</v>
      </c>
      <c r="I36" s="29" t="s">
        <v>54</v>
      </c>
      <c r="J36" s="29" t="s">
        <v>55</v>
      </c>
      <c r="K36" s="29" t="s">
        <v>56</v>
      </c>
      <c r="L36" s="29" t="s">
        <v>57</v>
      </c>
      <c r="M36" s="29" t="s">
        <v>58</v>
      </c>
    </row>
    <row r="37" spans="1:13" s="1" customFormat="1" x14ac:dyDescent="0.2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</row>
    <row r="38" spans="1:13" s="1" customFormat="1" x14ac:dyDescent="0.25">
      <c r="A38" s="145" t="s">
        <v>59</v>
      </c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7"/>
    </row>
    <row r="39" spans="1:13" s="1" customFormat="1" x14ac:dyDescent="0.25">
      <c r="A39" s="165" t="s">
        <v>13</v>
      </c>
      <c r="B39" s="165"/>
      <c r="C39" s="166" t="s">
        <v>42</v>
      </c>
      <c r="D39" s="166"/>
      <c r="E39" s="166"/>
      <c r="F39" s="165" t="s">
        <v>7</v>
      </c>
      <c r="G39" s="165"/>
      <c r="H39" s="165"/>
      <c r="I39" s="165" t="s">
        <v>10</v>
      </c>
      <c r="J39" s="165"/>
      <c r="K39" s="165"/>
      <c r="L39" s="165" t="s">
        <v>37</v>
      </c>
      <c r="M39" s="165"/>
    </row>
    <row r="40" spans="1:13" s="1" customFormat="1" x14ac:dyDescent="0.25">
      <c r="A40" s="161"/>
      <c r="B40" s="161"/>
      <c r="C40" s="162"/>
      <c r="D40" s="163"/>
      <c r="E40" s="164"/>
      <c r="F40" s="161"/>
      <c r="G40" s="161"/>
      <c r="H40" s="161"/>
      <c r="I40" s="161"/>
      <c r="J40" s="161"/>
      <c r="K40" s="161"/>
      <c r="L40" s="161"/>
      <c r="M40" s="161"/>
    </row>
    <row r="41" spans="1:13" s="1" customFormat="1" x14ac:dyDescent="0.25">
      <c r="A41" s="145" t="s">
        <v>60</v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7"/>
    </row>
    <row r="42" spans="1:13" s="1" customFormat="1" x14ac:dyDescent="0.25">
      <c r="A42" s="148" t="s">
        <v>34</v>
      </c>
      <c r="B42" s="150" t="s">
        <v>35</v>
      </c>
      <c r="C42" s="151"/>
      <c r="D42" s="152"/>
      <c r="E42" s="156"/>
      <c r="F42" s="157"/>
      <c r="G42" s="157"/>
      <c r="H42" s="157"/>
      <c r="I42" s="157"/>
      <c r="J42" s="157"/>
      <c r="K42" s="157"/>
      <c r="L42" s="157"/>
      <c r="M42" s="158"/>
    </row>
    <row r="43" spans="1:13" s="1" customFormat="1" x14ac:dyDescent="0.25">
      <c r="A43" s="149"/>
      <c r="B43" s="153"/>
      <c r="C43" s="154"/>
      <c r="D43" s="155"/>
      <c r="E43" s="26">
        <v>50</v>
      </c>
      <c r="F43" s="26">
        <v>25</v>
      </c>
      <c r="G43" s="26">
        <v>10</v>
      </c>
      <c r="H43" s="26">
        <v>35</v>
      </c>
      <c r="I43" s="26">
        <v>5</v>
      </c>
      <c r="J43" s="26">
        <v>1</v>
      </c>
      <c r="K43" s="26">
        <v>500</v>
      </c>
      <c r="L43" s="159" t="s">
        <v>37</v>
      </c>
      <c r="M43" s="160"/>
    </row>
    <row r="44" spans="1:13" s="1" customFormat="1" x14ac:dyDescent="0.25">
      <c r="A44" s="27">
        <v>1</v>
      </c>
      <c r="B44" s="142" t="s">
        <v>38</v>
      </c>
      <c r="C44" s="143"/>
      <c r="D44" s="144"/>
      <c r="E44" s="27"/>
      <c r="F44" s="27"/>
      <c r="G44" s="27"/>
      <c r="H44" s="27"/>
      <c r="I44" s="27"/>
      <c r="J44" s="27"/>
      <c r="K44" s="27"/>
      <c r="L44" s="132">
        <f>SUM(E44:K44)</f>
        <v>0</v>
      </c>
      <c r="M44" s="134"/>
    </row>
    <row r="45" spans="1:13" s="1" customFormat="1" x14ac:dyDescent="0.25">
      <c r="A45" s="27">
        <v>2</v>
      </c>
      <c r="B45" s="142" t="s">
        <v>39</v>
      </c>
      <c r="C45" s="143"/>
      <c r="D45" s="144"/>
      <c r="E45" s="27"/>
      <c r="F45" s="27"/>
      <c r="G45" s="27"/>
      <c r="H45" s="27"/>
      <c r="I45" s="27"/>
      <c r="J45" s="27"/>
      <c r="K45" s="27"/>
      <c r="L45" s="132">
        <f t="shared" ref="L45:L52" si="1">SUM(E45:K45)</f>
        <v>0</v>
      </c>
      <c r="M45" s="134"/>
    </row>
    <row r="46" spans="1:13" s="1" customFormat="1" x14ac:dyDescent="0.25">
      <c r="A46" s="27">
        <v>3</v>
      </c>
      <c r="B46" s="142" t="s">
        <v>40</v>
      </c>
      <c r="C46" s="143"/>
      <c r="D46" s="144"/>
      <c r="E46" s="27"/>
      <c r="F46" s="27"/>
      <c r="G46" s="27"/>
      <c r="H46" s="27"/>
      <c r="I46" s="27"/>
      <c r="J46" s="27"/>
      <c r="K46" s="27"/>
      <c r="L46" s="132">
        <f t="shared" si="1"/>
        <v>0</v>
      </c>
      <c r="M46" s="134"/>
    </row>
    <row r="47" spans="1:13" s="1" customFormat="1" x14ac:dyDescent="0.25">
      <c r="A47" s="27">
        <v>4</v>
      </c>
      <c r="B47" s="142" t="s">
        <v>41</v>
      </c>
      <c r="C47" s="143"/>
      <c r="D47" s="144"/>
      <c r="E47" s="27"/>
      <c r="F47" s="27"/>
      <c r="G47" s="27"/>
      <c r="H47" s="27"/>
      <c r="I47" s="27"/>
      <c r="J47" s="27"/>
      <c r="K47" s="27"/>
      <c r="L47" s="132">
        <f t="shared" si="1"/>
        <v>0</v>
      </c>
      <c r="M47" s="134"/>
    </row>
    <row r="48" spans="1:13" s="1" customFormat="1" x14ac:dyDescent="0.25">
      <c r="A48" s="27">
        <v>5</v>
      </c>
      <c r="B48" s="142" t="s">
        <v>42</v>
      </c>
      <c r="C48" s="143"/>
      <c r="D48" s="144"/>
      <c r="E48" s="27"/>
      <c r="F48" s="27"/>
      <c r="G48" s="27"/>
      <c r="H48" s="27"/>
      <c r="I48" s="27"/>
      <c r="J48" s="27"/>
      <c r="K48" s="27"/>
      <c r="L48" s="132">
        <f t="shared" si="1"/>
        <v>0</v>
      </c>
      <c r="M48" s="134"/>
    </row>
    <row r="49" spans="1:13" s="1" customFormat="1" x14ac:dyDescent="0.25">
      <c r="A49" s="27">
        <v>6</v>
      </c>
      <c r="B49" s="142" t="s">
        <v>7</v>
      </c>
      <c r="C49" s="143"/>
      <c r="D49" s="144"/>
      <c r="E49" s="27"/>
      <c r="F49" s="27"/>
      <c r="G49" s="27"/>
      <c r="H49" s="27"/>
      <c r="I49" s="27"/>
      <c r="J49" s="27"/>
      <c r="K49" s="27"/>
      <c r="L49" s="132">
        <f t="shared" si="1"/>
        <v>0</v>
      </c>
      <c r="M49" s="134"/>
    </row>
    <row r="50" spans="1:13" s="1" customFormat="1" x14ac:dyDescent="0.25">
      <c r="A50" s="27">
        <v>7</v>
      </c>
      <c r="B50" s="142" t="s">
        <v>43</v>
      </c>
      <c r="C50" s="143"/>
      <c r="D50" s="144"/>
      <c r="E50" s="27"/>
      <c r="F50" s="27"/>
      <c r="G50" s="27"/>
      <c r="H50" s="27"/>
      <c r="I50" s="27"/>
      <c r="J50" s="27"/>
      <c r="K50" s="27"/>
      <c r="L50" s="132">
        <f t="shared" si="1"/>
        <v>0</v>
      </c>
      <c r="M50" s="134"/>
    </row>
    <row r="51" spans="1:13" s="1" customFormat="1" x14ac:dyDescent="0.25">
      <c r="A51" s="27">
        <v>8</v>
      </c>
      <c r="B51" s="142" t="s">
        <v>44</v>
      </c>
      <c r="C51" s="143"/>
      <c r="D51" s="144"/>
      <c r="E51" s="27"/>
      <c r="F51" s="27"/>
      <c r="G51" s="27"/>
      <c r="H51" s="27"/>
      <c r="I51" s="27"/>
      <c r="J51" s="27"/>
      <c r="K51" s="27"/>
      <c r="L51" s="132">
        <f t="shared" si="1"/>
        <v>0</v>
      </c>
      <c r="M51" s="134"/>
    </row>
    <row r="52" spans="1:13" s="1" customFormat="1" x14ac:dyDescent="0.25">
      <c r="A52" s="27">
        <v>9</v>
      </c>
      <c r="B52" s="142" t="s">
        <v>45</v>
      </c>
      <c r="C52" s="143"/>
      <c r="D52" s="144"/>
      <c r="E52" s="28"/>
      <c r="F52" s="27"/>
      <c r="G52" s="27"/>
      <c r="H52" s="27"/>
      <c r="I52" s="27"/>
      <c r="J52" s="27"/>
      <c r="K52" s="27"/>
      <c r="L52" s="132">
        <f t="shared" si="1"/>
        <v>0</v>
      </c>
      <c r="M52" s="134"/>
    </row>
    <row r="58" spans="1:13" x14ac:dyDescent="0.25">
      <c r="I58">
        <v>50000</v>
      </c>
    </row>
    <row r="59" spans="1:13" x14ac:dyDescent="0.25">
      <c r="I59">
        <v>1</v>
      </c>
    </row>
    <row r="60" spans="1:13" x14ac:dyDescent="0.25">
      <c r="I60">
        <v>49</v>
      </c>
    </row>
  </sheetData>
  <mergeCells count="116"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B51:D51"/>
    <mergeCell ref="L51:M51"/>
    <mergeCell ref="B52:D52"/>
    <mergeCell ref="L52:M52"/>
    <mergeCell ref="B48:D48"/>
    <mergeCell ref="L48:M48"/>
    <mergeCell ref="B49:D49"/>
    <mergeCell ref="L49:M49"/>
    <mergeCell ref="B50:D50"/>
    <mergeCell ref="L50:M50"/>
    <mergeCell ref="B45:D45"/>
    <mergeCell ref="L45:M45"/>
    <mergeCell ref="B46:D46"/>
    <mergeCell ref="L46:M46"/>
    <mergeCell ref="B47:D47"/>
    <mergeCell ref="L47:M47"/>
    <mergeCell ref="A42:A43"/>
    <mergeCell ref="B42:D43"/>
    <mergeCell ref="E42:M42"/>
    <mergeCell ref="L43:M43"/>
    <mergeCell ref="B44:D44"/>
    <mergeCell ref="L44:M44"/>
    <mergeCell ref="A40:B40"/>
    <mergeCell ref="C40:E40"/>
    <mergeCell ref="F40:H40"/>
    <mergeCell ref="I40:K40"/>
    <mergeCell ref="L40:M40"/>
    <mergeCell ref="A41:M41"/>
    <mergeCell ref="A35:M35"/>
    <mergeCell ref="A38:M38"/>
    <mergeCell ref="A39:B39"/>
    <mergeCell ref="C39:E39"/>
    <mergeCell ref="F39:H39"/>
    <mergeCell ref="I39:K39"/>
    <mergeCell ref="L39:M39"/>
    <mergeCell ref="B32:D32"/>
    <mergeCell ref="L32:M32"/>
    <mergeCell ref="B33:D33"/>
    <mergeCell ref="L33:M33"/>
    <mergeCell ref="B34:D34"/>
    <mergeCell ref="L34:M34"/>
    <mergeCell ref="B29:D29"/>
    <mergeCell ref="L29:M29"/>
    <mergeCell ref="B30:D30"/>
    <mergeCell ref="L30:M30"/>
    <mergeCell ref="B31:D31"/>
    <mergeCell ref="L31:M31"/>
    <mergeCell ref="B26:D26"/>
    <mergeCell ref="L26:M26"/>
    <mergeCell ref="B27:D27"/>
    <mergeCell ref="L27:M27"/>
    <mergeCell ref="B28:D28"/>
    <mergeCell ref="L28:M28"/>
    <mergeCell ref="A23:D23"/>
    <mergeCell ref="E23:M23"/>
    <mergeCell ref="A24:A25"/>
    <mergeCell ref="B24:D25"/>
    <mergeCell ref="E24:M24"/>
    <mergeCell ref="L25:M25"/>
    <mergeCell ref="B19:C19"/>
    <mergeCell ref="E19:I20"/>
    <mergeCell ref="J19:L20"/>
    <mergeCell ref="A21:M21"/>
    <mergeCell ref="A22:C22"/>
    <mergeCell ref="D22:E22"/>
    <mergeCell ref="F22:G22"/>
    <mergeCell ref="H22:M22"/>
    <mergeCell ref="B17:C17"/>
    <mergeCell ref="G17:I17"/>
    <mergeCell ref="J17:L17"/>
    <mergeCell ref="B18:C18"/>
    <mergeCell ref="E18:I18"/>
    <mergeCell ref="J18:L18"/>
    <mergeCell ref="B15:C15"/>
    <mergeCell ref="G15:I15"/>
    <mergeCell ref="J15:L15"/>
    <mergeCell ref="B16:C16"/>
    <mergeCell ref="G16:I16"/>
    <mergeCell ref="J16:L16"/>
    <mergeCell ref="B13:C13"/>
    <mergeCell ref="G13:I13"/>
    <mergeCell ref="J13:L13"/>
    <mergeCell ref="B14:C14"/>
    <mergeCell ref="G14:I14"/>
    <mergeCell ref="J14:L14"/>
    <mergeCell ref="B12:C12"/>
    <mergeCell ref="E12:F12"/>
    <mergeCell ref="G12:I12"/>
    <mergeCell ref="J12:L12"/>
    <mergeCell ref="C6:E6"/>
    <mergeCell ref="F6:G6"/>
    <mergeCell ref="H6:L6"/>
    <mergeCell ref="A8:M8"/>
    <mergeCell ref="B10:C10"/>
    <mergeCell ref="E10:F10"/>
    <mergeCell ref="G10:I10"/>
    <mergeCell ref="J10:L10"/>
    <mergeCell ref="A2:M2"/>
    <mergeCell ref="A3:C3"/>
    <mergeCell ref="D3:E3"/>
    <mergeCell ref="F3:K3"/>
    <mergeCell ref="L3:M3"/>
    <mergeCell ref="A4:M4"/>
    <mergeCell ref="B11:C11"/>
    <mergeCell ref="E11:F11"/>
    <mergeCell ref="G11:I11"/>
    <mergeCell ref="J11:L1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60"/>
  <sheetViews>
    <sheetView workbookViewId="0">
      <selection activeCell="J13" sqref="J13:L13"/>
    </sheetView>
  </sheetViews>
  <sheetFormatPr defaultRowHeight="15" x14ac:dyDescent="0.25"/>
  <cols>
    <col min="1" max="1" width="14.5703125" customWidth="1"/>
    <col min="18" max="19" width="10.140625" bestFit="1" customWidth="1"/>
  </cols>
  <sheetData>
    <row r="2" spans="1:19" s="1" customFormat="1" ht="15.75" x14ac:dyDescent="0.25">
      <c r="A2" s="97" t="s">
        <v>0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</row>
    <row r="3" spans="1:19" s="31" customFormat="1" x14ac:dyDescent="0.25">
      <c r="A3" s="98" t="s">
        <v>1</v>
      </c>
      <c r="B3" s="99"/>
      <c r="C3" s="100"/>
      <c r="D3" s="101" t="s">
        <v>61</v>
      </c>
      <c r="E3" s="102"/>
      <c r="F3" s="103" t="s">
        <v>2</v>
      </c>
      <c r="G3" s="104"/>
      <c r="H3" s="104"/>
      <c r="I3" s="104"/>
      <c r="J3" s="104"/>
      <c r="K3" s="105"/>
      <c r="L3" s="106">
        <v>44756</v>
      </c>
      <c r="M3" s="107"/>
    </row>
    <row r="4" spans="1:19" s="1" customFormat="1" x14ac:dyDescent="0.25">
      <c r="A4" s="108" t="s">
        <v>3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10"/>
    </row>
    <row r="5" spans="1:19" s="1" customFormat="1" x14ac:dyDescent="0.25">
      <c r="A5" s="2"/>
      <c r="B5" s="3"/>
      <c r="C5" s="3"/>
      <c r="D5" s="3">
        <v>281</v>
      </c>
      <c r="E5" s="3"/>
      <c r="F5" s="4"/>
      <c r="G5" s="4"/>
      <c r="H5" s="4"/>
      <c r="I5" s="4"/>
      <c r="J5" s="4"/>
      <c r="K5" s="4"/>
      <c r="L5" s="4"/>
      <c r="M5" s="5"/>
      <c r="Q5" s="1">
        <v>100000</v>
      </c>
      <c r="R5" s="36">
        <f>+J16-Q5</f>
        <v>49623281.149999999</v>
      </c>
    </row>
    <row r="6" spans="1:19" s="1" customFormat="1" x14ac:dyDescent="0.25">
      <c r="A6" s="6" t="s">
        <v>4</v>
      </c>
      <c r="B6" s="7"/>
      <c r="C6" s="120">
        <v>217694</v>
      </c>
      <c r="D6" s="121"/>
      <c r="E6" s="113"/>
      <c r="F6" s="122" t="s">
        <v>5</v>
      </c>
      <c r="G6" s="123"/>
      <c r="H6" s="117">
        <v>2749276.54</v>
      </c>
      <c r="I6" s="118"/>
      <c r="J6" s="118"/>
      <c r="K6" s="118"/>
      <c r="L6" s="119"/>
      <c r="M6" s="5"/>
    </row>
    <row r="7" spans="1:19" s="1" customFormat="1" x14ac:dyDescent="0.25">
      <c r="A7" s="8"/>
      <c r="B7" s="9"/>
      <c r="C7" s="9"/>
      <c r="D7" s="9"/>
      <c r="E7" s="9"/>
      <c r="F7" s="10"/>
      <c r="G7" s="10"/>
      <c r="H7" s="10"/>
      <c r="I7" s="4"/>
      <c r="J7" s="4"/>
      <c r="K7" s="4"/>
      <c r="L7" s="4"/>
      <c r="M7" s="5"/>
    </row>
    <row r="8" spans="1:19" s="1" customFormat="1" x14ac:dyDescent="0.25">
      <c r="A8" s="108" t="s">
        <v>6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10"/>
    </row>
    <row r="9" spans="1:19" s="1" customFormat="1" x14ac:dyDescent="0.25">
      <c r="A9" s="11"/>
      <c r="B9" s="12"/>
      <c r="C9" s="12"/>
      <c r="D9" s="12"/>
      <c r="E9" s="12"/>
      <c r="F9" s="13"/>
      <c r="G9" s="4"/>
      <c r="H9" s="4"/>
      <c r="I9" s="4"/>
      <c r="J9" s="4"/>
      <c r="K9" s="4"/>
      <c r="L9" s="4"/>
      <c r="M9" s="5"/>
    </row>
    <row r="10" spans="1:19" s="1" customFormat="1" x14ac:dyDescent="0.25">
      <c r="A10" s="14" t="s">
        <v>7</v>
      </c>
      <c r="B10" s="111"/>
      <c r="C10" s="111"/>
      <c r="D10" s="34" t="s">
        <v>8</v>
      </c>
      <c r="E10" s="112">
        <v>19329</v>
      </c>
      <c r="F10" s="113"/>
      <c r="G10" s="114" t="s">
        <v>9</v>
      </c>
      <c r="H10" s="115"/>
      <c r="I10" s="116"/>
      <c r="J10" s="117">
        <v>48110377.5</v>
      </c>
      <c r="K10" s="118"/>
      <c r="L10" s="119"/>
      <c r="M10" s="15"/>
      <c r="P10" s="117">
        <v>48092624.550000004</v>
      </c>
      <c r="Q10" s="118"/>
      <c r="R10" s="119"/>
    </row>
    <row r="11" spans="1:19" s="1" customFormat="1" x14ac:dyDescent="0.25">
      <c r="A11" s="14" t="s">
        <v>10</v>
      </c>
      <c r="B11" s="111"/>
      <c r="C11" s="111"/>
      <c r="D11" s="34" t="s">
        <v>11</v>
      </c>
      <c r="E11" s="112">
        <f>1759070.4-E10</f>
        <v>1739741.4</v>
      </c>
      <c r="F11" s="113"/>
      <c r="G11" s="114" t="s">
        <v>12</v>
      </c>
      <c r="H11" s="115"/>
      <c r="I11" s="116"/>
      <c r="J11" s="117"/>
      <c r="K11" s="118"/>
      <c r="L11" s="119"/>
      <c r="M11" s="15"/>
      <c r="N11" s="1">
        <v>0</v>
      </c>
      <c r="P11" s="117">
        <v>100000</v>
      </c>
      <c r="Q11" s="118"/>
      <c r="R11" s="119"/>
      <c r="S11" s="36">
        <f>++P10-P11</f>
        <v>47992624.550000004</v>
      </c>
    </row>
    <row r="12" spans="1:19" s="1" customFormat="1" x14ac:dyDescent="0.25">
      <c r="A12" s="16" t="s">
        <v>13</v>
      </c>
      <c r="B12" s="111"/>
      <c r="C12" s="111"/>
      <c r="D12" s="33" t="s">
        <v>14</v>
      </c>
      <c r="E12" s="120">
        <f>+E11+E10</f>
        <v>1759070.4</v>
      </c>
      <c r="F12" s="113"/>
      <c r="G12" s="114" t="s">
        <v>15</v>
      </c>
      <c r="H12" s="115"/>
      <c r="I12" s="116"/>
      <c r="J12" s="117">
        <f>1739741.4+23731</f>
        <v>1763472.4</v>
      </c>
      <c r="K12" s="118"/>
      <c r="L12" s="119"/>
      <c r="M12" s="15"/>
      <c r="P12" s="117">
        <v>1213945</v>
      </c>
      <c r="Q12" s="118"/>
      <c r="R12" s="119"/>
    </row>
    <row r="13" spans="1:19" s="1" customFormat="1" x14ac:dyDescent="0.25">
      <c r="A13" s="18" t="s">
        <v>16</v>
      </c>
      <c r="B13" s="111"/>
      <c r="C13" s="111"/>
      <c r="D13" s="17"/>
      <c r="E13" s="19"/>
      <c r="F13" s="20"/>
      <c r="G13" s="115" t="s">
        <v>17</v>
      </c>
      <c r="H13" s="115"/>
      <c r="I13" s="116"/>
      <c r="J13" s="117">
        <v>126837.75</v>
      </c>
      <c r="K13" s="118"/>
      <c r="L13" s="119"/>
      <c r="M13" s="5"/>
      <c r="N13" s="1" t="s">
        <v>64</v>
      </c>
      <c r="P13" s="117">
        <f>2248284.83-22000</f>
        <v>2226284.83</v>
      </c>
      <c r="Q13" s="118"/>
      <c r="R13" s="119"/>
    </row>
    <row r="14" spans="1:19" s="1" customFormat="1" x14ac:dyDescent="0.25">
      <c r="A14" s="18" t="s">
        <v>18</v>
      </c>
      <c r="B14" s="111"/>
      <c r="C14" s="111"/>
      <c r="D14" s="4"/>
      <c r="E14" s="4"/>
      <c r="F14" s="4"/>
      <c r="G14" s="115" t="s">
        <v>19</v>
      </c>
      <c r="H14" s="115"/>
      <c r="I14" s="116"/>
      <c r="J14" s="117">
        <v>23730.74</v>
      </c>
      <c r="K14" s="118"/>
      <c r="L14" s="119"/>
      <c r="M14" s="5"/>
      <c r="N14" s="1">
        <v>22000</v>
      </c>
      <c r="P14" s="117">
        <v>22000</v>
      </c>
      <c r="Q14" s="118"/>
      <c r="R14" s="119"/>
    </row>
    <row r="15" spans="1:19" s="1" customFormat="1" x14ac:dyDescent="0.25">
      <c r="A15" s="18" t="s">
        <v>20</v>
      </c>
      <c r="B15" s="111"/>
      <c r="C15" s="111"/>
      <c r="D15" s="4"/>
      <c r="E15" s="4"/>
      <c r="F15" s="4"/>
      <c r="G15" s="115" t="s">
        <v>21</v>
      </c>
      <c r="H15" s="115"/>
      <c r="I15" s="116"/>
      <c r="J15" s="117">
        <f>+J10+J12-J11-J13-J14</f>
        <v>49723281.409999996</v>
      </c>
      <c r="K15" s="118"/>
      <c r="L15" s="119"/>
      <c r="M15" s="5"/>
      <c r="P15" s="117">
        <f>+P10+P12-P11-P13-P14</f>
        <v>46958284.720000006</v>
      </c>
      <c r="Q15" s="118"/>
      <c r="R15" s="119"/>
    </row>
    <row r="16" spans="1:19" s="1" customFormat="1" x14ac:dyDescent="0.25">
      <c r="A16" s="21" t="s">
        <v>22</v>
      </c>
      <c r="B16" s="124"/>
      <c r="C16" s="124"/>
      <c r="D16" s="4"/>
      <c r="E16" s="4"/>
      <c r="F16" s="4"/>
      <c r="G16" s="115" t="s">
        <v>23</v>
      </c>
      <c r="H16" s="115"/>
      <c r="I16" s="116"/>
      <c r="J16" s="117">
        <v>49723281.149999999</v>
      </c>
      <c r="K16" s="118"/>
      <c r="L16" s="119"/>
      <c r="M16" s="5"/>
      <c r="P16" s="117">
        <v>48092625</v>
      </c>
      <c r="Q16" s="118"/>
      <c r="R16" s="119"/>
    </row>
    <row r="17" spans="1:18" s="1" customFormat="1" x14ac:dyDescent="0.25">
      <c r="A17" s="18" t="s">
        <v>24</v>
      </c>
      <c r="B17" s="111"/>
      <c r="C17" s="111"/>
      <c r="D17" s="4"/>
      <c r="E17" s="18"/>
      <c r="F17" s="4"/>
      <c r="G17" s="115" t="s">
        <v>25</v>
      </c>
      <c r="H17" s="115"/>
      <c r="I17" s="116"/>
      <c r="J17" s="117">
        <f>J15-J16</f>
        <v>0.25999999791383743</v>
      </c>
      <c r="K17" s="118"/>
      <c r="L17" s="119"/>
      <c r="M17" s="5"/>
      <c r="P17" s="117">
        <f>P15-P16</f>
        <v>-1134340.2799999937</v>
      </c>
      <c r="Q17" s="118"/>
      <c r="R17" s="119"/>
    </row>
    <row r="18" spans="1:18" s="1" customFormat="1" x14ac:dyDescent="0.25">
      <c r="A18" s="18" t="s">
        <v>26</v>
      </c>
      <c r="B18" s="111"/>
      <c r="C18" s="111"/>
      <c r="D18" s="4"/>
      <c r="E18" s="140" t="s">
        <v>27</v>
      </c>
      <c r="F18" s="140"/>
      <c r="G18" s="140"/>
      <c r="H18" s="140"/>
      <c r="I18" s="141"/>
      <c r="J18" s="117"/>
      <c r="K18" s="118"/>
      <c r="L18" s="119"/>
      <c r="M18" s="22"/>
      <c r="P18" s="117"/>
      <c r="Q18" s="118"/>
      <c r="R18" s="119"/>
    </row>
    <row r="19" spans="1:18" s="1" customFormat="1" x14ac:dyDescent="0.25">
      <c r="A19" s="23" t="s">
        <v>28</v>
      </c>
      <c r="B19" s="125">
        <f>SUM(B10:C18)</f>
        <v>0</v>
      </c>
      <c r="C19" s="126"/>
      <c r="D19" s="4"/>
      <c r="E19" s="127"/>
      <c r="F19" s="128"/>
      <c r="G19" s="128"/>
      <c r="H19" s="128"/>
      <c r="I19" s="128"/>
      <c r="J19" s="130"/>
      <c r="K19" s="130"/>
      <c r="L19" s="130"/>
      <c r="M19" s="5"/>
    </row>
    <row r="20" spans="1:18" s="1" customFormat="1" x14ac:dyDescent="0.25">
      <c r="A20" s="23"/>
      <c r="B20" s="24"/>
      <c r="C20" s="25"/>
      <c r="D20" s="4"/>
      <c r="E20" s="129"/>
      <c r="F20" s="129"/>
      <c r="G20" s="129"/>
      <c r="H20" s="129"/>
      <c r="I20" s="129"/>
      <c r="J20" s="131"/>
      <c r="K20" s="131"/>
      <c r="L20" s="131"/>
      <c r="M20" s="5"/>
      <c r="P20" s="1">
        <f>198</f>
        <v>198</v>
      </c>
    </row>
    <row r="21" spans="1:18" s="1" customFormat="1" x14ac:dyDescent="0.25">
      <c r="A21" s="108" t="s">
        <v>29</v>
      </c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10"/>
      <c r="P21" s="1">
        <v>908</v>
      </c>
    </row>
    <row r="22" spans="1:18" s="1" customFormat="1" x14ac:dyDescent="0.25">
      <c r="A22" s="132" t="s">
        <v>30</v>
      </c>
      <c r="B22" s="133"/>
      <c r="C22" s="134"/>
      <c r="D22" s="135" t="s">
        <v>62</v>
      </c>
      <c r="E22" s="136"/>
      <c r="F22" s="135" t="s">
        <v>31</v>
      </c>
      <c r="G22" s="137"/>
      <c r="H22" s="138">
        <v>44756</v>
      </c>
      <c r="I22" s="138"/>
      <c r="J22" s="138"/>
      <c r="K22" s="138"/>
      <c r="L22" s="138"/>
      <c r="M22" s="139"/>
      <c r="P22" s="1">
        <v>198</v>
      </c>
    </row>
    <row r="23" spans="1:18" s="1" customFormat="1" x14ac:dyDescent="0.25">
      <c r="A23" s="145" t="s">
        <v>32</v>
      </c>
      <c r="B23" s="146"/>
      <c r="C23" s="146"/>
      <c r="D23" s="147"/>
      <c r="E23" s="145" t="s">
        <v>33</v>
      </c>
      <c r="F23" s="146"/>
      <c r="G23" s="146"/>
      <c r="H23" s="146"/>
      <c r="I23" s="146"/>
      <c r="J23" s="146"/>
      <c r="K23" s="146"/>
      <c r="L23" s="146"/>
      <c r="M23" s="147"/>
      <c r="P23" s="1">
        <v>94</v>
      </c>
    </row>
    <row r="24" spans="1:18" s="1" customFormat="1" hidden="1" x14ac:dyDescent="0.25">
      <c r="A24" s="148" t="s">
        <v>34</v>
      </c>
      <c r="B24" s="150" t="s">
        <v>35</v>
      </c>
      <c r="C24" s="151"/>
      <c r="D24" s="152"/>
      <c r="E24" s="156" t="s">
        <v>36</v>
      </c>
      <c r="F24" s="157"/>
      <c r="G24" s="157"/>
      <c r="H24" s="157"/>
      <c r="I24" s="157"/>
      <c r="J24" s="157"/>
      <c r="K24" s="157"/>
      <c r="L24" s="157"/>
      <c r="M24" s="158"/>
    </row>
    <row r="25" spans="1:18" s="1" customFormat="1" hidden="1" x14ac:dyDescent="0.25">
      <c r="A25" s="149"/>
      <c r="B25" s="153"/>
      <c r="C25" s="154"/>
      <c r="D25" s="155"/>
      <c r="E25" s="26">
        <v>50</v>
      </c>
      <c r="F25" s="26">
        <v>25</v>
      </c>
      <c r="G25" s="26">
        <v>10</v>
      </c>
      <c r="H25" s="26">
        <v>34</v>
      </c>
      <c r="I25" s="26">
        <v>5</v>
      </c>
      <c r="J25" s="26">
        <v>1</v>
      </c>
      <c r="K25" s="26">
        <v>500</v>
      </c>
      <c r="L25" s="159" t="s">
        <v>37</v>
      </c>
      <c r="M25" s="160"/>
    </row>
    <row r="26" spans="1:18" s="1" customFormat="1" hidden="1" x14ac:dyDescent="0.25">
      <c r="A26" s="27">
        <v>1</v>
      </c>
      <c r="B26" s="142" t="s">
        <v>38</v>
      </c>
      <c r="C26" s="143"/>
      <c r="D26" s="144"/>
      <c r="E26" s="27"/>
      <c r="F26" s="27"/>
      <c r="G26" s="27"/>
      <c r="H26" s="27"/>
      <c r="I26" s="27"/>
      <c r="J26" s="27"/>
      <c r="K26" s="27"/>
      <c r="L26" s="132">
        <f>SUM(E26:K26)</f>
        <v>0</v>
      </c>
      <c r="M26" s="134"/>
    </row>
    <row r="27" spans="1:18" s="1" customFormat="1" hidden="1" x14ac:dyDescent="0.25">
      <c r="A27" s="27">
        <v>2</v>
      </c>
      <c r="B27" s="142" t="s">
        <v>39</v>
      </c>
      <c r="C27" s="143"/>
      <c r="D27" s="144"/>
      <c r="E27" s="27"/>
      <c r="F27" s="27"/>
      <c r="G27" s="27"/>
      <c r="H27" s="27"/>
      <c r="I27" s="27"/>
      <c r="J27" s="27"/>
      <c r="K27" s="27"/>
      <c r="L27" s="132">
        <f t="shared" ref="L27:L34" si="0">SUM(E27:K27)</f>
        <v>0</v>
      </c>
      <c r="M27" s="134"/>
    </row>
    <row r="28" spans="1:18" s="1" customFormat="1" hidden="1" x14ac:dyDescent="0.25">
      <c r="A28" s="27">
        <v>3</v>
      </c>
      <c r="B28" s="142" t="s">
        <v>40</v>
      </c>
      <c r="C28" s="143"/>
      <c r="D28" s="144"/>
      <c r="E28" s="27"/>
      <c r="F28" s="27"/>
      <c r="G28" s="27"/>
      <c r="H28" s="27"/>
      <c r="I28" s="27"/>
      <c r="J28" s="27"/>
      <c r="K28" s="27"/>
      <c r="L28" s="132">
        <f t="shared" si="0"/>
        <v>0</v>
      </c>
      <c r="M28" s="134"/>
    </row>
    <row r="29" spans="1:18" s="1" customFormat="1" hidden="1" x14ac:dyDescent="0.25">
      <c r="A29" s="27">
        <v>4</v>
      </c>
      <c r="B29" s="142" t="s">
        <v>41</v>
      </c>
      <c r="C29" s="143"/>
      <c r="D29" s="144"/>
      <c r="E29" s="27"/>
      <c r="F29" s="27"/>
      <c r="G29" s="27"/>
      <c r="H29" s="27"/>
      <c r="I29" s="27"/>
      <c r="J29" s="27"/>
      <c r="K29" s="27"/>
      <c r="L29" s="132">
        <f t="shared" si="0"/>
        <v>0</v>
      </c>
      <c r="M29" s="134"/>
    </row>
    <row r="30" spans="1:18" s="1" customFormat="1" hidden="1" x14ac:dyDescent="0.25">
      <c r="A30" s="27">
        <v>5</v>
      </c>
      <c r="B30" s="142" t="s">
        <v>42</v>
      </c>
      <c r="C30" s="143"/>
      <c r="D30" s="144"/>
      <c r="E30" s="27"/>
      <c r="F30" s="27"/>
      <c r="G30" s="27"/>
      <c r="H30" s="27"/>
      <c r="I30" s="27"/>
      <c r="J30" s="27"/>
      <c r="K30" s="27"/>
      <c r="L30" s="132">
        <f t="shared" si="0"/>
        <v>0</v>
      </c>
      <c r="M30" s="134"/>
    </row>
    <row r="31" spans="1:18" s="1" customFormat="1" hidden="1" x14ac:dyDescent="0.25">
      <c r="A31" s="27">
        <v>6</v>
      </c>
      <c r="B31" s="142" t="s">
        <v>7</v>
      </c>
      <c r="C31" s="143"/>
      <c r="D31" s="144"/>
      <c r="E31" s="27"/>
      <c r="F31" s="27"/>
      <c r="G31" s="27"/>
      <c r="H31" s="27"/>
      <c r="I31" s="27"/>
      <c r="J31" s="27"/>
      <c r="K31" s="27"/>
      <c r="L31" s="132">
        <f t="shared" si="0"/>
        <v>0</v>
      </c>
      <c r="M31" s="134"/>
    </row>
    <row r="32" spans="1:18" s="1" customFormat="1" hidden="1" x14ac:dyDescent="0.25">
      <c r="A32" s="27">
        <v>7</v>
      </c>
      <c r="B32" s="142" t="s">
        <v>43</v>
      </c>
      <c r="C32" s="143"/>
      <c r="D32" s="144"/>
      <c r="E32" s="27"/>
      <c r="F32" s="27"/>
      <c r="G32" s="27"/>
      <c r="H32" s="27"/>
      <c r="I32" s="27"/>
      <c r="J32" s="27"/>
      <c r="K32" s="27"/>
      <c r="L32" s="132">
        <f t="shared" si="0"/>
        <v>0</v>
      </c>
      <c r="M32" s="134"/>
    </row>
    <row r="33" spans="1:16" s="1" customFormat="1" hidden="1" x14ac:dyDescent="0.25">
      <c r="A33" s="27">
        <v>8</v>
      </c>
      <c r="B33" s="142" t="s">
        <v>44</v>
      </c>
      <c r="C33" s="143"/>
      <c r="D33" s="144"/>
      <c r="E33" s="27"/>
      <c r="F33" s="27"/>
      <c r="G33" s="27"/>
      <c r="H33" s="27"/>
      <c r="I33" s="27"/>
      <c r="J33" s="27"/>
      <c r="K33" s="27"/>
      <c r="L33" s="132">
        <f t="shared" si="0"/>
        <v>0</v>
      </c>
      <c r="M33" s="134"/>
    </row>
    <row r="34" spans="1:16" s="1" customFormat="1" hidden="1" x14ac:dyDescent="0.25">
      <c r="A34" s="27">
        <v>9</v>
      </c>
      <c r="B34" s="142" t="s">
        <v>45</v>
      </c>
      <c r="C34" s="143"/>
      <c r="D34" s="144"/>
      <c r="E34" s="28"/>
      <c r="F34" s="27"/>
      <c r="G34" s="27"/>
      <c r="H34" s="27"/>
      <c r="I34" s="27"/>
      <c r="J34" s="27"/>
      <c r="K34" s="27"/>
      <c r="L34" s="132">
        <f t="shared" si="0"/>
        <v>0</v>
      </c>
      <c r="M34" s="134"/>
    </row>
    <row r="35" spans="1:16" s="1" customFormat="1" x14ac:dyDescent="0.25">
      <c r="A35" s="108" t="s">
        <v>46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10"/>
      <c r="P35" s="1">
        <v>110</v>
      </c>
    </row>
    <row r="36" spans="1:16" s="1" customFormat="1" ht="30" x14ac:dyDescent="0.25">
      <c r="A36" s="35" t="s">
        <v>47</v>
      </c>
      <c r="B36" s="35" t="s">
        <v>48</v>
      </c>
      <c r="C36" s="35" t="s">
        <v>49</v>
      </c>
      <c r="D36" s="35" t="s">
        <v>50</v>
      </c>
      <c r="E36" s="35" t="s">
        <v>51</v>
      </c>
      <c r="F36" s="35" t="s">
        <v>52</v>
      </c>
      <c r="G36" s="35" t="s">
        <v>53</v>
      </c>
      <c r="H36" s="35">
        <v>1544</v>
      </c>
      <c r="I36" s="35" t="s">
        <v>54</v>
      </c>
      <c r="J36" s="35" t="s">
        <v>55</v>
      </c>
      <c r="K36" s="35" t="s">
        <v>56</v>
      </c>
      <c r="L36" s="35" t="s">
        <v>57</v>
      </c>
      <c r="M36" s="35" t="s">
        <v>58</v>
      </c>
      <c r="P36" s="1">
        <v>1383</v>
      </c>
    </row>
    <row r="37" spans="1:16" s="1" customFormat="1" x14ac:dyDescent="0.2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P37" s="1">
        <v>94</v>
      </c>
    </row>
    <row r="38" spans="1:16" s="1" customFormat="1" x14ac:dyDescent="0.25">
      <c r="A38" s="145" t="s">
        <v>59</v>
      </c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7"/>
      <c r="P38" s="1">
        <f>SUM(P20:P37)</f>
        <v>2985</v>
      </c>
    </row>
    <row r="39" spans="1:16" s="1" customFormat="1" x14ac:dyDescent="0.25">
      <c r="A39" s="165" t="s">
        <v>13</v>
      </c>
      <c r="B39" s="165"/>
      <c r="C39" s="166" t="s">
        <v>42</v>
      </c>
      <c r="D39" s="166"/>
      <c r="E39" s="166"/>
      <c r="F39" s="165" t="s">
        <v>7</v>
      </c>
      <c r="G39" s="165"/>
      <c r="H39" s="165"/>
      <c r="I39" s="165" t="s">
        <v>10</v>
      </c>
      <c r="J39" s="165"/>
      <c r="K39" s="165"/>
      <c r="L39" s="165" t="s">
        <v>37</v>
      </c>
      <c r="M39" s="165"/>
      <c r="P39" s="1">
        <v>680</v>
      </c>
    </row>
    <row r="40" spans="1:16" s="1" customFormat="1" x14ac:dyDescent="0.25">
      <c r="A40" s="161"/>
      <c r="B40" s="161"/>
      <c r="C40" s="162"/>
      <c r="D40" s="163"/>
      <c r="E40" s="164"/>
      <c r="F40" s="161"/>
      <c r="G40" s="161"/>
      <c r="H40" s="161"/>
      <c r="I40" s="161"/>
      <c r="J40" s="161"/>
      <c r="K40" s="161"/>
      <c r="L40" s="161"/>
      <c r="M40" s="161"/>
    </row>
    <row r="41" spans="1:16" s="1" customFormat="1" x14ac:dyDescent="0.25">
      <c r="A41" s="145" t="s">
        <v>60</v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7"/>
    </row>
    <row r="42" spans="1:16" s="1" customFormat="1" x14ac:dyDescent="0.25">
      <c r="A42" s="148" t="s">
        <v>34</v>
      </c>
      <c r="B42" s="150" t="s">
        <v>35</v>
      </c>
      <c r="C42" s="151"/>
      <c r="D42" s="152"/>
      <c r="E42" s="156"/>
      <c r="F42" s="157"/>
      <c r="G42" s="157"/>
      <c r="H42" s="157"/>
      <c r="I42" s="157"/>
      <c r="J42" s="157"/>
      <c r="K42" s="157"/>
      <c r="L42" s="157"/>
      <c r="M42" s="158"/>
    </row>
    <row r="43" spans="1:16" s="1" customFormat="1" x14ac:dyDescent="0.25">
      <c r="A43" s="149"/>
      <c r="B43" s="153"/>
      <c r="C43" s="154"/>
      <c r="D43" s="155"/>
      <c r="E43" s="26">
        <v>50</v>
      </c>
      <c r="F43" s="26">
        <v>25</v>
      </c>
      <c r="G43" s="26">
        <v>10</v>
      </c>
      <c r="H43" s="26">
        <v>35</v>
      </c>
      <c r="I43" s="26">
        <v>5</v>
      </c>
      <c r="J43" s="26">
        <v>1</v>
      </c>
      <c r="K43" s="26">
        <v>500</v>
      </c>
      <c r="L43" s="159" t="s">
        <v>37</v>
      </c>
      <c r="M43" s="160"/>
    </row>
    <row r="44" spans="1:16" s="1" customFormat="1" x14ac:dyDescent="0.25">
      <c r="A44" s="27">
        <v>1</v>
      </c>
      <c r="B44" s="142" t="s">
        <v>38</v>
      </c>
      <c r="C44" s="143"/>
      <c r="D44" s="144"/>
      <c r="E44" s="27"/>
      <c r="F44" s="27"/>
      <c r="G44" s="27"/>
      <c r="H44" s="27"/>
      <c r="I44" s="27"/>
      <c r="J44" s="27"/>
      <c r="K44" s="27"/>
      <c r="L44" s="132">
        <f>SUM(E44:K44)</f>
        <v>0</v>
      </c>
      <c r="M44" s="134"/>
    </row>
    <row r="45" spans="1:16" s="1" customFormat="1" x14ac:dyDescent="0.25">
      <c r="A45" s="27">
        <v>2</v>
      </c>
      <c r="B45" s="142" t="s">
        <v>39</v>
      </c>
      <c r="C45" s="143"/>
      <c r="D45" s="144"/>
      <c r="E45" s="27"/>
      <c r="F45" s="27"/>
      <c r="G45" s="27"/>
      <c r="H45" s="27"/>
      <c r="I45" s="27"/>
      <c r="J45" s="27"/>
      <c r="K45" s="27"/>
      <c r="L45" s="132">
        <f t="shared" ref="L45:L52" si="1">SUM(E45:K45)</f>
        <v>0</v>
      </c>
      <c r="M45" s="134"/>
    </row>
    <row r="46" spans="1:16" s="1" customFormat="1" x14ac:dyDescent="0.25">
      <c r="A46" s="27">
        <v>3</v>
      </c>
      <c r="B46" s="142" t="s">
        <v>40</v>
      </c>
      <c r="C46" s="143"/>
      <c r="D46" s="144"/>
      <c r="E46" s="27"/>
      <c r="F46" s="27"/>
      <c r="G46" s="27"/>
      <c r="H46" s="27"/>
      <c r="I46" s="27"/>
      <c r="J46" s="27"/>
      <c r="K46" s="27"/>
      <c r="L46" s="132">
        <f t="shared" si="1"/>
        <v>0</v>
      </c>
      <c r="M46" s="134"/>
    </row>
    <row r="47" spans="1:16" s="1" customFormat="1" x14ac:dyDescent="0.25">
      <c r="A47" s="27">
        <v>4</v>
      </c>
      <c r="B47" s="142" t="s">
        <v>41</v>
      </c>
      <c r="C47" s="143"/>
      <c r="D47" s="144"/>
      <c r="E47" s="27"/>
      <c r="F47" s="27"/>
      <c r="G47" s="27"/>
      <c r="H47" s="27"/>
      <c r="I47" s="27"/>
      <c r="J47" s="27"/>
      <c r="K47" s="27"/>
      <c r="L47" s="132">
        <f t="shared" si="1"/>
        <v>0</v>
      </c>
      <c r="M47" s="134"/>
    </row>
    <row r="48" spans="1:16" s="1" customFormat="1" x14ac:dyDescent="0.25">
      <c r="A48" s="27">
        <v>5</v>
      </c>
      <c r="B48" s="142" t="s">
        <v>42</v>
      </c>
      <c r="C48" s="143"/>
      <c r="D48" s="144"/>
      <c r="E48" s="27"/>
      <c r="F48" s="27"/>
      <c r="G48" s="27"/>
      <c r="H48" s="27"/>
      <c r="I48" s="27"/>
      <c r="J48" s="27"/>
      <c r="K48" s="27"/>
      <c r="L48" s="132">
        <f t="shared" si="1"/>
        <v>0</v>
      </c>
      <c r="M48" s="134"/>
    </row>
    <row r="49" spans="1:13" s="1" customFormat="1" x14ac:dyDescent="0.25">
      <c r="A49" s="27">
        <v>6</v>
      </c>
      <c r="B49" s="142" t="s">
        <v>7</v>
      </c>
      <c r="C49" s="143"/>
      <c r="D49" s="144"/>
      <c r="E49" s="27"/>
      <c r="F49" s="27"/>
      <c r="G49" s="27"/>
      <c r="H49" s="27"/>
      <c r="I49" s="27"/>
      <c r="J49" s="27"/>
      <c r="K49" s="27"/>
      <c r="L49" s="132">
        <f t="shared" si="1"/>
        <v>0</v>
      </c>
      <c r="M49" s="134"/>
    </row>
    <row r="50" spans="1:13" s="1" customFormat="1" x14ac:dyDescent="0.25">
      <c r="A50" s="27">
        <v>7</v>
      </c>
      <c r="B50" s="142" t="s">
        <v>43</v>
      </c>
      <c r="C50" s="143"/>
      <c r="D50" s="144"/>
      <c r="E50" s="27"/>
      <c r="F50" s="27"/>
      <c r="G50" s="27"/>
      <c r="H50" s="27"/>
      <c r="I50" s="27"/>
      <c r="J50" s="27"/>
      <c r="K50" s="27"/>
      <c r="L50" s="132">
        <f t="shared" si="1"/>
        <v>0</v>
      </c>
      <c r="M50" s="134"/>
    </row>
    <row r="51" spans="1:13" s="1" customFormat="1" x14ac:dyDescent="0.25">
      <c r="A51" s="27">
        <v>8</v>
      </c>
      <c r="B51" s="142" t="s">
        <v>44</v>
      </c>
      <c r="C51" s="143"/>
      <c r="D51" s="144"/>
      <c r="E51" s="27"/>
      <c r="F51" s="27"/>
      <c r="G51" s="27"/>
      <c r="H51" s="27"/>
      <c r="I51" s="27"/>
      <c r="J51" s="27"/>
      <c r="K51" s="27"/>
      <c r="L51" s="132">
        <f t="shared" si="1"/>
        <v>0</v>
      </c>
      <c r="M51" s="134"/>
    </row>
    <row r="52" spans="1:13" s="1" customFormat="1" x14ac:dyDescent="0.25">
      <c r="A52" s="27">
        <v>9</v>
      </c>
      <c r="B52" s="142" t="s">
        <v>45</v>
      </c>
      <c r="C52" s="143"/>
      <c r="D52" s="144"/>
      <c r="E52" s="28"/>
      <c r="F52" s="27"/>
      <c r="G52" s="27"/>
      <c r="H52" s="27"/>
      <c r="I52" s="27"/>
      <c r="J52" s="27"/>
      <c r="K52" s="27"/>
      <c r="L52" s="132">
        <f t="shared" si="1"/>
        <v>0</v>
      </c>
      <c r="M52" s="134"/>
    </row>
    <row r="58" spans="1:13" x14ac:dyDescent="0.25">
      <c r="I58">
        <v>50000</v>
      </c>
    </row>
    <row r="59" spans="1:13" x14ac:dyDescent="0.25">
      <c r="I59">
        <v>1</v>
      </c>
    </row>
    <row r="60" spans="1:13" x14ac:dyDescent="0.25">
      <c r="I60">
        <v>49</v>
      </c>
    </row>
  </sheetData>
  <mergeCells count="116">
    <mergeCell ref="A2:M2"/>
    <mergeCell ref="A3:C3"/>
    <mergeCell ref="D3:E3"/>
    <mergeCell ref="F3:K3"/>
    <mergeCell ref="L3:M3"/>
    <mergeCell ref="A4:M4"/>
    <mergeCell ref="P10:R10"/>
    <mergeCell ref="B11:C11"/>
    <mergeCell ref="E11:F11"/>
    <mergeCell ref="G11:I11"/>
    <mergeCell ref="J11:L11"/>
    <mergeCell ref="P11:R11"/>
    <mergeCell ref="C6:E6"/>
    <mergeCell ref="F6:G6"/>
    <mergeCell ref="H6:L6"/>
    <mergeCell ref="A8:M8"/>
    <mergeCell ref="B10:C10"/>
    <mergeCell ref="E10:F10"/>
    <mergeCell ref="G10:I10"/>
    <mergeCell ref="J10:L10"/>
    <mergeCell ref="B14:C14"/>
    <mergeCell ref="G14:I14"/>
    <mergeCell ref="J14:L14"/>
    <mergeCell ref="P14:R14"/>
    <mergeCell ref="B15:C15"/>
    <mergeCell ref="G15:I15"/>
    <mergeCell ref="J15:L15"/>
    <mergeCell ref="P15:R15"/>
    <mergeCell ref="B12:C12"/>
    <mergeCell ref="E12:F12"/>
    <mergeCell ref="G12:I12"/>
    <mergeCell ref="J12:L12"/>
    <mergeCell ref="P12:R12"/>
    <mergeCell ref="B13:C13"/>
    <mergeCell ref="G13:I13"/>
    <mergeCell ref="J13:L13"/>
    <mergeCell ref="P13:R13"/>
    <mergeCell ref="P18:R18"/>
    <mergeCell ref="B19:C19"/>
    <mergeCell ref="E19:I20"/>
    <mergeCell ref="J19:L20"/>
    <mergeCell ref="B16:C16"/>
    <mergeCell ref="G16:I16"/>
    <mergeCell ref="J16:L16"/>
    <mergeCell ref="P16:R16"/>
    <mergeCell ref="B17:C17"/>
    <mergeCell ref="G17:I17"/>
    <mergeCell ref="J17:L17"/>
    <mergeCell ref="P17:R17"/>
    <mergeCell ref="A21:M21"/>
    <mergeCell ref="A22:C22"/>
    <mergeCell ref="D22:E22"/>
    <mergeCell ref="F22:G22"/>
    <mergeCell ref="H22:M22"/>
    <mergeCell ref="A23:D23"/>
    <mergeCell ref="E23:M23"/>
    <mergeCell ref="B18:C18"/>
    <mergeCell ref="E18:I18"/>
    <mergeCell ref="J18:L18"/>
    <mergeCell ref="B27:D27"/>
    <mergeCell ref="L27:M27"/>
    <mergeCell ref="B28:D28"/>
    <mergeCell ref="L28:M28"/>
    <mergeCell ref="B29:D29"/>
    <mergeCell ref="L29:M29"/>
    <mergeCell ref="A24:A25"/>
    <mergeCell ref="B24:D25"/>
    <mergeCell ref="E24:M24"/>
    <mergeCell ref="L25:M25"/>
    <mergeCell ref="B26:D26"/>
    <mergeCell ref="L26:M26"/>
    <mergeCell ref="B33:D33"/>
    <mergeCell ref="L33:M33"/>
    <mergeCell ref="B34:D34"/>
    <mergeCell ref="L34:M34"/>
    <mergeCell ref="A35:M35"/>
    <mergeCell ref="A38:M38"/>
    <mergeCell ref="B30:D30"/>
    <mergeCell ref="L30:M30"/>
    <mergeCell ref="B31:D31"/>
    <mergeCell ref="L31:M31"/>
    <mergeCell ref="B32:D32"/>
    <mergeCell ref="L32:M32"/>
    <mergeCell ref="A39:B39"/>
    <mergeCell ref="C39:E39"/>
    <mergeCell ref="F39:H39"/>
    <mergeCell ref="I39:K39"/>
    <mergeCell ref="L39:M39"/>
    <mergeCell ref="A40:B40"/>
    <mergeCell ref="C40:E40"/>
    <mergeCell ref="F40:H40"/>
    <mergeCell ref="I40:K40"/>
    <mergeCell ref="L40:M40"/>
    <mergeCell ref="B45:D45"/>
    <mergeCell ref="L45:M45"/>
    <mergeCell ref="B46:D46"/>
    <mergeCell ref="L46:M46"/>
    <mergeCell ref="B47:D47"/>
    <mergeCell ref="L47:M47"/>
    <mergeCell ref="A41:M41"/>
    <mergeCell ref="A42:A43"/>
    <mergeCell ref="B42:D43"/>
    <mergeCell ref="E42:M42"/>
    <mergeCell ref="L43:M43"/>
    <mergeCell ref="B44:D44"/>
    <mergeCell ref="L44:M44"/>
    <mergeCell ref="B51:D51"/>
    <mergeCell ref="L51:M51"/>
    <mergeCell ref="B52:D52"/>
    <mergeCell ref="L52:M52"/>
    <mergeCell ref="B48:D48"/>
    <mergeCell ref="L48:M48"/>
    <mergeCell ref="B49:D49"/>
    <mergeCell ref="L49:M49"/>
    <mergeCell ref="B50:D50"/>
    <mergeCell ref="L50:M50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60"/>
  <sheetViews>
    <sheetView workbookViewId="0">
      <selection activeCell="J13" sqref="J13:L13"/>
    </sheetView>
  </sheetViews>
  <sheetFormatPr defaultRowHeight="15" x14ac:dyDescent="0.25"/>
  <cols>
    <col min="1" max="1" width="14.5703125" customWidth="1"/>
  </cols>
  <sheetData>
    <row r="2" spans="1:13" s="1" customFormat="1" ht="15.75" x14ac:dyDescent="0.25">
      <c r="A2" s="97" t="s">
        <v>0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</row>
    <row r="3" spans="1:13" s="31" customFormat="1" x14ac:dyDescent="0.25">
      <c r="A3" s="98" t="s">
        <v>1</v>
      </c>
      <c r="B3" s="99"/>
      <c r="C3" s="100"/>
      <c r="D3" s="101" t="s">
        <v>61</v>
      </c>
      <c r="E3" s="102"/>
      <c r="F3" s="103" t="s">
        <v>2</v>
      </c>
      <c r="G3" s="104"/>
      <c r="H3" s="104"/>
      <c r="I3" s="104"/>
      <c r="J3" s="104"/>
      <c r="K3" s="105"/>
      <c r="L3" s="106">
        <v>44761</v>
      </c>
      <c r="M3" s="107"/>
    </row>
    <row r="4" spans="1:13" s="1" customFormat="1" x14ac:dyDescent="0.25">
      <c r="A4" s="108" t="s">
        <v>3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10"/>
    </row>
    <row r="5" spans="1:13" s="1" customFormat="1" x14ac:dyDescent="0.25">
      <c r="A5" s="2"/>
      <c r="B5" s="3"/>
      <c r="C5" s="3"/>
      <c r="D5" s="3">
        <v>281</v>
      </c>
      <c r="E5" s="3"/>
      <c r="F5" s="4"/>
      <c r="G5" s="4"/>
      <c r="H5" s="4"/>
      <c r="I5" s="4"/>
      <c r="J5" s="4"/>
      <c r="K5" s="4"/>
      <c r="L5" s="4"/>
      <c r="M5" s="5"/>
    </row>
    <row r="6" spans="1:13" s="1" customFormat="1" x14ac:dyDescent="0.25">
      <c r="A6" s="6" t="s">
        <v>4</v>
      </c>
      <c r="B6" s="7"/>
      <c r="C6" s="120">
        <v>417928</v>
      </c>
      <c r="D6" s="121"/>
      <c r="E6" s="113"/>
      <c r="F6" s="122" t="s">
        <v>5</v>
      </c>
      <c r="G6" s="123"/>
      <c r="H6" s="117">
        <v>4078191.74</v>
      </c>
      <c r="I6" s="118"/>
      <c r="J6" s="118"/>
      <c r="K6" s="118"/>
      <c r="L6" s="119"/>
      <c r="M6" s="5"/>
    </row>
    <row r="7" spans="1:13" s="1" customFormat="1" x14ac:dyDescent="0.25">
      <c r="A7" s="8"/>
      <c r="B7" s="9"/>
      <c r="C7" s="9"/>
      <c r="D7" s="9"/>
      <c r="E7" s="9"/>
      <c r="F7" s="10"/>
      <c r="G7" s="10"/>
      <c r="H7" s="10"/>
      <c r="I7" s="4"/>
      <c r="J7" s="4"/>
      <c r="K7" s="4"/>
      <c r="L7" s="4"/>
      <c r="M7" s="5"/>
    </row>
    <row r="8" spans="1:13" s="1" customFormat="1" x14ac:dyDescent="0.25">
      <c r="A8" s="108" t="s">
        <v>6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10"/>
    </row>
    <row r="9" spans="1:13" s="1" customFormat="1" x14ac:dyDescent="0.25">
      <c r="A9" s="11"/>
      <c r="B9" s="12"/>
      <c r="C9" s="12"/>
      <c r="D9" s="12"/>
      <c r="E9" s="12"/>
      <c r="F9" s="13"/>
      <c r="G9" s="4"/>
      <c r="H9" s="4"/>
      <c r="I9" s="4"/>
      <c r="J9" s="4"/>
      <c r="K9" s="4"/>
      <c r="L9" s="4"/>
      <c r="M9" s="5"/>
    </row>
    <row r="10" spans="1:13" s="1" customFormat="1" x14ac:dyDescent="0.25">
      <c r="A10" s="14" t="s">
        <v>7</v>
      </c>
      <c r="B10" s="167">
        <v>1521.5</v>
      </c>
      <c r="C10" s="167"/>
      <c r="D10" s="38" t="s">
        <v>8</v>
      </c>
      <c r="E10" s="112">
        <v>17828</v>
      </c>
      <c r="F10" s="113"/>
      <c r="G10" s="114" t="s">
        <v>9</v>
      </c>
      <c r="H10" s="115"/>
      <c r="I10" s="116"/>
      <c r="J10" s="117">
        <v>49411335.229999997</v>
      </c>
      <c r="K10" s="118"/>
      <c r="L10" s="119"/>
      <c r="M10" s="15"/>
    </row>
    <row r="11" spans="1:13" s="1" customFormat="1" x14ac:dyDescent="0.25">
      <c r="A11" s="14" t="s">
        <v>10</v>
      </c>
      <c r="B11" s="167">
        <v>14629</v>
      </c>
      <c r="C11" s="167"/>
      <c r="D11" s="38" t="s">
        <v>11</v>
      </c>
      <c r="E11" s="112">
        <f>1490601-17828</f>
        <v>1472773</v>
      </c>
      <c r="F11" s="113"/>
      <c r="G11" s="114" t="s">
        <v>12</v>
      </c>
      <c r="H11" s="115"/>
      <c r="I11" s="116"/>
      <c r="J11" s="117"/>
      <c r="K11" s="118"/>
      <c r="L11" s="119"/>
      <c r="M11" s="15"/>
    </row>
    <row r="12" spans="1:13" s="1" customFormat="1" x14ac:dyDescent="0.25">
      <c r="A12" s="16" t="s">
        <v>13</v>
      </c>
      <c r="B12" s="167">
        <v>29853</v>
      </c>
      <c r="C12" s="167"/>
      <c r="D12" s="33" t="s">
        <v>14</v>
      </c>
      <c r="E12" s="120">
        <f>+E11+E10</f>
        <v>1490601</v>
      </c>
      <c r="F12" s="113"/>
      <c r="G12" s="114" t="s">
        <v>15</v>
      </c>
      <c r="H12" s="115"/>
      <c r="I12" s="116"/>
      <c r="J12" s="117">
        <v>1455773</v>
      </c>
      <c r="K12" s="118"/>
      <c r="L12" s="119"/>
      <c r="M12" s="15"/>
    </row>
    <row r="13" spans="1:13" s="1" customFormat="1" x14ac:dyDescent="0.25">
      <c r="A13" s="18" t="s">
        <v>16</v>
      </c>
      <c r="B13" s="167">
        <v>1065.5</v>
      </c>
      <c r="C13" s="167"/>
      <c r="D13" s="17"/>
      <c r="E13" s="19"/>
      <c r="F13" s="20"/>
      <c r="G13" s="115" t="s">
        <v>17</v>
      </c>
      <c r="H13" s="115"/>
      <c r="I13" s="116"/>
      <c r="J13" s="117">
        <v>30560.400000000001</v>
      </c>
      <c r="K13" s="118"/>
      <c r="L13" s="119"/>
      <c r="M13" s="5"/>
    </row>
    <row r="14" spans="1:13" s="1" customFormat="1" x14ac:dyDescent="0.25">
      <c r="A14" s="18" t="s">
        <v>18</v>
      </c>
      <c r="B14" s="167">
        <v>42.4</v>
      </c>
      <c r="C14" s="167"/>
      <c r="D14" s="4"/>
      <c r="E14" s="4"/>
      <c r="F14" s="4"/>
      <c r="G14" s="115" t="s">
        <v>19</v>
      </c>
      <c r="H14" s="115"/>
      <c r="I14" s="116"/>
      <c r="J14" s="117"/>
      <c r="K14" s="118"/>
      <c r="L14" s="119"/>
      <c r="M14" s="5"/>
    </row>
    <row r="15" spans="1:13" s="1" customFormat="1" x14ac:dyDescent="0.25">
      <c r="A15" s="18" t="s">
        <v>20</v>
      </c>
      <c r="B15" s="167">
        <v>65.5</v>
      </c>
      <c r="C15" s="167"/>
      <c r="D15" s="4"/>
      <c r="E15" s="4"/>
      <c r="F15" s="4"/>
      <c r="G15" s="115" t="s">
        <v>21</v>
      </c>
      <c r="H15" s="115"/>
      <c r="I15" s="116"/>
      <c r="J15" s="117">
        <f>+J10+J12-J11-J13-J14</f>
        <v>50836547.829999998</v>
      </c>
      <c r="K15" s="118"/>
      <c r="L15" s="119"/>
      <c r="M15" s="5"/>
    </row>
    <row r="16" spans="1:13" s="1" customFormat="1" x14ac:dyDescent="0.25">
      <c r="A16" s="21" t="s">
        <v>22</v>
      </c>
      <c r="B16" s="168">
        <v>300</v>
      </c>
      <c r="C16" s="168"/>
      <c r="D16" s="4"/>
      <c r="E16" s="4"/>
      <c r="F16" s="4"/>
      <c r="G16" s="115" t="s">
        <v>23</v>
      </c>
      <c r="H16" s="115"/>
      <c r="I16" s="116"/>
      <c r="J16" s="117">
        <v>50836547.829999998</v>
      </c>
      <c r="K16" s="118"/>
      <c r="L16" s="119"/>
      <c r="M16" s="5"/>
    </row>
    <row r="17" spans="1:13" s="1" customFormat="1" x14ac:dyDescent="0.25">
      <c r="A17" s="18" t="s">
        <v>24</v>
      </c>
      <c r="B17" s="167">
        <v>0</v>
      </c>
      <c r="C17" s="167"/>
      <c r="D17" s="4"/>
      <c r="E17" s="18"/>
      <c r="F17" s="4"/>
      <c r="G17" s="115" t="s">
        <v>25</v>
      </c>
      <c r="H17" s="115"/>
      <c r="I17" s="116"/>
      <c r="J17" s="117">
        <f>J15-J16</f>
        <v>0</v>
      </c>
      <c r="K17" s="118"/>
      <c r="L17" s="119"/>
      <c r="M17" s="5"/>
    </row>
    <row r="18" spans="1:13" s="1" customFormat="1" x14ac:dyDescent="0.25">
      <c r="A18" s="18" t="s">
        <v>65</v>
      </c>
      <c r="B18" s="167">
        <v>10.5</v>
      </c>
      <c r="C18" s="167"/>
      <c r="D18" s="4"/>
      <c r="E18" s="140" t="s">
        <v>27</v>
      </c>
      <c r="F18" s="140"/>
      <c r="G18" s="140"/>
      <c r="H18" s="140"/>
      <c r="I18" s="141"/>
      <c r="J18" s="117"/>
      <c r="K18" s="118"/>
      <c r="L18" s="119"/>
      <c r="M18" s="22"/>
    </row>
    <row r="19" spans="1:13" s="1" customFormat="1" x14ac:dyDescent="0.25">
      <c r="A19" s="23" t="s">
        <v>28</v>
      </c>
      <c r="B19" s="169">
        <f>SUM(B10:C18)</f>
        <v>47487.4</v>
      </c>
      <c r="C19" s="169"/>
      <c r="D19" s="4"/>
      <c r="E19" s="127"/>
      <c r="F19" s="128"/>
      <c r="G19" s="128"/>
      <c r="H19" s="128"/>
      <c r="I19" s="128"/>
      <c r="J19" s="130"/>
      <c r="K19" s="130"/>
      <c r="L19" s="130"/>
      <c r="M19" s="5"/>
    </row>
    <row r="20" spans="1:13" s="1" customFormat="1" x14ac:dyDescent="0.25">
      <c r="A20" s="23"/>
      <c r="B20" s="24"/>
      <c r="C20" s="39"/>
      <c r="D20" s="4"/>
      <c r="E20" s="129"/>
      <c r="F20" s="129"/>
      <c r="G20" s="129"/>
      <c r="H20" s="129"/>
      <c r="I20" s="129"/>
      <c r="J20" s="131"/>
      <c r="K20" s="131"/>
      <c r="L20" s="131"/>
      <c r="M20" s="5"/>
    </row>
    <row r="21" spans="1:13" s="1" customFormat="1" x14ac:dyDescent="0.25">
      <c r="A21" s="108" t="s">
        <v>29</v>
      </c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10"/>
    </row>
    <row r="22" spans="1:13" s="1" customFormat="1" x14ac:dyDescent="0.25">
      <c r="A22" s="132" t="s">
        <v>30</v>
      </c>
      <c r="B22" s="133"/>
      <c r="C22" s="134"/>
      <c r="D22" s="135" t="s">
        <v>62</v>
      </c>
      <c r="E22" s="136"/>
      <c r="F22" s="135" t="s">
        <v>31</v>
      </c>
      <c r="G22" s="137"/>
      <c r="H22" s="138">
        <v>44756</v>
      </c>
      <c r="I22" s="138"/>
      <c r="J22" s="138"/>
      <c r="K22" s="138"/>
      <c r="L22" s="138"/>
      <c r="M22" s="139"/>
    </row>
    <row r="23" spans="1:13" s="1" customFormat="1" x14ac:dyDescent="0.25">
      <c r="A23" s="145" t="s">
        <v>32</v>
      </c>
      <c r="B23" s="146"/>
      <c r="C23" s="146"/>
      <c r="D23" s="147"/>
      <c r="E23" s="145" t="s">
        <v>33</v>
      </c>
      <c r="F23" s="146"/>
      <c r="G23" s="146"/>
      <c r="H23" s="146"/>
      <c r="I23" s="146"/>
      <c r="J23" s="146"/>
      <c r="K23" s="146"/>
      <c r="L23" s="146"/>
      <c r="M23" s="147"/>
    </row>
    <row r="24" spans="1:13" s="1" customFormat="1" hidden="1" x14ac:dyDescent="0.25">
      <c r="A24" s="148" t="s">
        <v>34</v>
      </c>
      <c r="B24" s="150" t="s">
        <v>35</v>
      </c>
      <c r="C24" s="151"/>
      <c r="D24" s="152"/>
      <c r="E24" s="156" t="s">
        <v>36</v>
      </c>
      <c r="F24" s="157"/>
      <c r="G24" s="157"/>
      <c r="H24" s="157"/>
      <c r="I24" s="157"/>
      <c r="J24" s="157"/>
      <c r="K24" s="157"/>
      <c r="L24" s="157"/>
      <c r="M24" s="158"/>
    </row>
    <row r="25" spans="1:13" s="1" customFormat="1" hidden="1" x14ac:dyDescent="0.25">
      <c r="A25" s="149"/>
      <c r="B25" s="153"/>
      <c r="C25" s="154"/>
      <c r="D25" s="155"/>
      <c r="E25" s="26">
        <v>50</v>
      </c>
      <c r="F25" s="26">
        <v>25</v>
      </c>
      <c r="G25" s="26">
        <v>10</v>
      </c>
      <c r="H25" s="26">
        <v>34</v>
      </c>
      <c r="I25" s="26">
        <v>5</v>
      </c>
      <c r="J25" s="26">
        <v>1</v>
      </c>
      <c r="K25" s="26">
        <v>500</v>
      </c>
      <c r="L25" s="159" t="s">
        <v>37</v>
      </c>
      <c r="M25" s="160"/>
    </row>
    <row r="26" spans="1:13" s="1" customFormat="1" hidden="1" x14ac:dyDescent="0.25">
      <c r="A26" s="27">
        <v>1</v>
      </c>
      <c r="B26" s="142" t="s">
        <v>38</v>
      </c>
      <c r="C26" s="143"/>
      <c r="D26" s="144"/>
      <c r="E26" s="27"/>
      <c r="F26" s="27"/>
      <c r="G26" s="27"/>
      <c r="H26" s="27"/>
      <c r="I26" s="27"/>
      <c r="J26" s="27"/>
      <c r="K26" s="27"/>
      <c r="L26" s="132">
        <f>SUM(E26:K26)</f>
        <v>0</v>
      </c>
      <c r="M26" s="134"/>
    </row>
    <row r="27" spans="1:13" s="1" customFormat="1" hidden="1" x14ac:dyDescent="0.25">
      <c r="A27" s="27">
        <v>2</v>
      </c>
      <c r="B27" s="142" t="s">
        <v>39</v>
      </c>
      <c r="C27" s="143"/>
      <c r="D27" s="144"/>
      <c r="E27" s="27"/>
      <c r="F27" s="27"/>
      <c r="G27" s="27"/>
      <c r="H27" s="27"/>
      <c r="I27" s="27"/>
      <c r="J27" s="27"/>
      <c r="K27" s="27"/>
      <c r="L27" s="132">
        <f t="shared" ref="L27:L34" si="0">SUM(E27:K27)</f>
        <v>0</v>
      </c>
      <c r="M27" s="134"/>
    </row>
    <row r="28" spans="1:13" s="1" customFormat="1" hidden="1" x14ac:dyDescent="0.25">
      <c r="A28" s="27">
        <v>3</v>
      </c>
      <c r="B28" s="142" t="s">
        <v>40</v>
      </c>
      <c r="C28" s="143"/>
      <c r="D28" s="144"/>
      <c r="E28" s="27"/>
      <c r="F28" s="27"/>
      <c r="G28" s="27"/>
      <c r="H28" s="27"/>
      <c r="I28" s="27"/>
      <c r="J28" s="27"/>
      <c r="K28" s="27"/>
      <c r="L28" s="132">
        <f t="shared" si="0"/>
        <v>0</v>
      </c>
      <c r="M28" s="134"/>
    </row>
    <row r="29" spans="1:13" s="1" customFormat="1" hidden="1" x14ac:dyDescent="0.25">
      <c r="A29" s="27">
        <v>4</v>
      </c>
      <c r="B29" s="142" t="s">
        <v>41</v>
      </c>
      <c r="C29" s="143"/>
      <c r="D29" s="144"/>
      <c r="E29" s="27"/>
      <c r="F29" s="27"/>
      <c r="G29" s="27"/>
      <c r="H29" s="27"/>
      <c r="I29" s="27"/>
      <c r="J29" s="27"/>
      <c r="K29" s="27"/>
      <c r="L29" s="132">
        <f t="shared" si="0"/>
        <v>0</v>
      </c>
      <c r="M29" s="134"/>
    </row>
    <row r="30" spans="1:13" s="1" customFormat="1" hidden="1" x14ac:dyDescent="0.25">
      <c r="A30" s="27">
        <v>5</v>
      </c>
      <c r="B30" s="142" t="s">
        <v>42</v>
      </c>
      <c r="C30" s="143"/>
      <c r="D30" s="144"/>
      <c r="E30" s="27"/>
      <c r="F30" s="27"/>
      <c r="G30" s="27"/>
      <c r="H30" s="27"/>
      <c r="I30" s="27"/>
      <c r="J30" s="27"/>
      <c r="K30" s="27"/>
      <c r="L30" s="132">
        <f t="shared" si="0"/>
        <v>0</v>
      </c>
      <c r="M30" s="134"/>
    </row>
    <row r="31" spans="1:13" s="1" customFormat="1" hidden="1" x14ac:dyDescent="0.25">
      <c r="A31" s="27">
        <v>6</v>
      </c>
      <c r="B31" s="142" t="s">
        <v>7</v>
      </c>
      <c r="C31" s="143"/>
      <c r="D31" s="144"/>
      <c r="E31" s="27"/>
      <c r="F31" s="27"/>
      <c r="G31" s="27"/>
      <c r="H31" s="27"/>
      <c r="I31" s="27"/>
      <c r="J31" s="27"/>
      <c r="K31" s="27"/>
      <c r="L31" s="132">
        <f t="shared" si="0"/>
        <v>0</v>
      </c>
      <c r="M31" s="134"/>
    </row>
    <row r="32" spans="1:13" s="1" customFormat="1" hidden="1" x14ac:dyDescent="0.25">
      <c r="A32" s="27">
        <v>7</v>
      </c>
      <c r="B32" s="142" t="s">
        <v>43</v>
      </c>
      <c r="C32" s="143"/>
      <c r="D32" s="144"/>
      <c r="E32" s="27"/>
      <c r="F32" s="27"/>
      <c r="G32" s="27"/>
      <c r="H32" s="27"/>
      <c r="I32" s="27"/>
      <c r="J32" s="27"/>
      <c r="K32" s="27"/>
      <c r="L32" s="132">
        <f t="shared" si="0"/>
        <v>0</v>
      </c>
      <c r="M32" s="134"/>
    </row>
    <row r="33" spans="1:13" s="1" customFormat="1" hidden="1" x14ac:dyDescent="0.25">
      <c r="A33" s="27">
        <v>8</v>
      </c>
      <c r="B33" s="142" t="s">
        <v>44</v>
      </c>
      <c r="C33" s="143"/>
      <c r="D33" s="144"/>
      <c r="E33" s="27"/>
      <c r="F33" s="27"/>
      <c r="G33" s="27"/>
      <c r="H33" s="27"/>
      <c r="I33" s="27"/>
      <c r="J33" s="27"/>
      <c r="K33" s="27"/>
      <c r="L33" s="132">
        <f t="shared" si="0"/>
        <v>0</v>
      </c>
      <c r="M33" s="134"/>
    </row>
    <row r="34" spans="1:13" s="1" customFormat="1" hidden="1" x14ac:dyDescent="0.25">
      <c r="A34" s="27">
        <v>9</v>
      </c>
      <c r="B34" s="142" t="s">
        <v>45</v>
      </c>
      <c r="C34" s="143"/>
      <c r="D34" s="144"/>
      <c r="E34" s="28"/>
      <c r="F34" s="27"/>
      <c r="G34" s="27"/>
      <c r="H34" s="27"/>
      <c r="I34" s="27"/>
      <c r="J34" s="27"/>
      <c r="K34" s="27"/>
      <c r="L34" s="132">
        <f t="shared" si="0"/>
        <v>0</v>
      </c>
      <c r="M34" s="134"/>
    </row>
    <row r="35" spans="1:13" s="1" customFormat="1" x14ac:dyDescent="0.25">
      <c r="A35" s="108" t="s">
        <v>46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10"/>
    </row>
    <row r="36" spans="1:13" s="1" customFormat="1" ht="30" x14ac:dyDescent="0.25">
      <c r="A36" s="37" t="s">
        <v>47</v>
      </c>
      <c r="B36" s="37" t="s">
        <v>48</v>
      </c>
      <c r="C36" s="37" t="s">
        <v>49</v>
      </c>
      <c r="D36" s="37" t="s">
        <v>50</v>
      </c>
      <c r="E36" s="37" t="s">
        <v>51</v>
      </c>
      <c r="F36" s="37" t="s">
        <v>52</v>
      </c>
      <c r="G36" s="37" t="s">
        <v>53</v>
      </c>
      <c r="H36" s="37">
        <v>1544</v>
      </c>
      <c r="I36" s="37" t="s">
        <v>54</v>
      </c>
      <c r="J36" s="37" t="s">
        <v>55</v>
      </c>
      <c r="K36" s="37" t="s">
        <v>56</v>
      </c>
      <c r="L36" s="37" t="s">
        <v>57</v>
      </c>
      <c r="M36" s="37" t="s">
        <v>58</v>
      </c>
    </row>
    <row r="37" spans="1:13" s="1" customFormat="1" x14ac:dyDescent="0.2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</row>
    <row r="38" spans="1:13" s="1" customFormat="1" x14ac:dyDescent="0.25">
      <c r="A38" s="145" t="s">
        <v>59</v>
      </c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7"/>
    </row>
    <row r="39" spans="1:13" s="1" customFormat="1" x14ac:dyDescent="0.25">
      <c r="A39" s="165" t="s">
        <v>13</v>
      </c>
      <c r="B39" s="165"/>
      <c r="C39" s="166" t="s">
        <v>42</v>
      </c>
      <c r="D39" s="166"/>
      <c r="E39" s="166"/>
      <c r="F39" s="165" t="s">
        <v>7</v>
      </c>
      <c r="G39" s="165"/>
      <c r="H39" s="165"/>
      <c r="I39" s="165" t="s">
        <v>10</v>
      </c>
      <c r="J39" s="165"/>
      <c r="K39" s="165"/>
      <c r="L39" s="165" t="s">
        <v>37</v>
      </c>
      <c r="M39" s="165"/>
    </row>
    <row r="40" spans="1:13" s="1" customFormat="1" x14ac:dyDescent="0.25">
      <c r="A40" s="161"/>
      <c r="B40" s="161"/>
      <c r="C40" s="162"/>
      <c r="D40" s="163"/>
      <c r="E40" s="164"/>
      <c r="F40" s="161"/>
      <c r="G40" s="161"/>
      <c r="H40" s="161"/>
      <c r="I40" s="161"/>
      <c r="J40" s="161"/>
      <c r="K40" s="161"/>
      <c r="L40" s="161"/>
      <c r="M40" s="161"/>
    </row>
    <row r="41" spans="1:13" s="1" customFormat="1" x14ac:dyDescent="0.25">
      <c r="A41" s="145" t="s">
        <v>60</v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7"/>
    </row>
    <row r="42" spans="1:13" s="1" customFormat="1" x14ac:dyDescent="0.25">
      <c r="A42" s="148" t="s">
        <v>34</v>
      </c>
      <c r="B42" s="150" t="s">
        <v>35</v>
      </c>
      <c r="C42" s="151"/>
      <c r="D42" s="152"/>
      <c r="E42" s="156"/>
      <c r="F42" s="157"/>
      <c r="G42" s="157"/>
      <c r="H42" s="157"/>
      <c r="I42" s="157"/>
      <c r="J42" s="157"/>
      <c r="K42" s="157"/>
      <c r="L42" s="157"/>
      <c r="M42" s="158"/>
    </row>
    <row r="43" spans="1:13" s="1" customFormat="1" x14ac:dyDescent="0.25">
      <c r="A43" s="149"/>
      <c r="B43" s="153"/>
      <c r="C43" s="154"/>
      <c r="D43" s="155"/>
      <c r="E43" s="26">
        <v>50</v>
      </c>
      <c r="F43" s="26">
        <v>25</v>
      </c>
      <c r="G43" s="26">
        <v>10</v>
      </c>
      <c r="H43" s="26">
        <v>35</v>
      </c>
      <c r="I43" s="26">
        <v>5</v>
      </c>
      <c r="J43" s="26">
        <v>1</v>
      </c>
      <c r="K43" s="26">
        <v>500</v>
      </c>
      <c r="L43" s="159" t="s">
        <v>37</v>
      </c>
      <c r="M43" s="160"/>
    </row>
    <row r="44" spans="1:13" s="1" customFormat="1" x14ac:dyDescent="0.25">
      <c r="A44" s="27">
        <v>1</v>
      </c>
      <c r="B44" s="142" t="s">
        <v>38</v>
      </c>
      <c r="C44" s="143"/>
      <c r="D44" s="144"/>
      <c r="E44" s="27"/>
      <c r="F44" s="27"/>
      <c r="G44" s="27"/>
      <c r="H44" s="27"/>
      <c r="I44" s="27"/>
      <c r="J44" s="27"/>
      <c r="K44" s="27"/>
      <c r="L44" s="132">
        <f>SUM(E44:K44)</f>
        <v>0</v>
      </c>
      <c r="M44" s="134"/>
    </row>
    <row r="45" spans="1:13" s="1" customFormat="1" x14ac:dyDescent="0.25">
      <c r="A45" s="27">
        <v>2</v>
      </c>
      <c r="B45" s="142" t="s">
        <v>39</v>
      </c>
      <c r="C45" s="143"/>
      <c r="D45" s="144"/>
      <c r="E45" s="27"/>
      <c r="F45" s="27"/>
      <c r="G45" s="27"/>
      <c r="H45" s="27"/>
      <c r="I45" s="27"/>
      <c r="J45" s="27"/>
      <c r="K45" s="27"/>
      <c r="L45" s="132">
        <f t="shared" ref="L45:L52" si="1">SUM(E45:K45)</f>
        <v>0</v>
      </c>
      <c r="M45" s="134"/>
    </row>
    <row r="46" spans="1:13" s="1" customFormat="1" x14ac:dyDescent="0.25">
      <c r="A46" s="27">
        <v>3</v>
      </c>
      <c r="B46" s="142" t="s">
        <v>40</v>
      </c>
      <c r="C46" s="143"/>
      <c r="D46" s="144"/>
      <c r="E46" s="27"/>
      <c r="F46" s="27"/>
      <c r="G46" s="27"/>
      <c r="H46" s="27"/>
      <c r="I46" s="27"/>
      <c r="J46" s="27"/>
      <c r="K46" s="27"/>
      <c r="L46" s="132">
        <f t="shared" si="1"/>
        <v>0</v>
      </c>
      <c r="M46" s="134"/>
    </row>
    <row r="47" spans="1:13" s="1" customFormat="1" x14ac:dyDescent="0.25">
      <c r="A47" s="27">
        <v>4</v>
      </c>
      <c r="B47" s="142" t="s">
        <v>41</v>
      </c>
      <c r="C47" s="143"/>
      <c r="D47" s="144"/>
      <c r="E47" s="27"/>
      <c r="F47" s="27"/>
      <c r="G47" s="27"/>
      <c r="H47" s="27"/>
      <c r="I47" s="27"/>
      <c r="J47" s="27"/>
      <c r="K47" s="27"/>
      <c r="L47" s="132">
        <f t="shared" si="1"/>
        <v>0</v>
      </c>
      <c r="M47" s="134"/>
    </row>
    <row r="48" spans="1:13" s="1" customFormat="1" x14ac:dyDescent="0.25">
      <c r="A48" s="27">
        <v>5</v>
      </c>
      <c r="B48" s="142" t="s">
        <v>42</v>
      </c>
      <c r="C48" s="143"/>
      <c r="D48" s="144"/>
      <c r="E48" s="27"/>
      <c r="F48" s="27"/>
      <c r="G48" s="27"/>
      <c r="H48" s="27"/>
      <c r="I48" s="27"/>
      <c r="J48" s="27"/>
      <c r="K48" s="27"/>
      <c r="L48" s="132">
        <f t="shared" si="1"/>
        <v>0</v>
      </c>
      <c r="M48" s="134"/>
    </row>
    <row r="49" spans="1:13" s="1" customFormat="1" x14ac:dyDescent="0.25">
      <c r="A49" s="27">
        <v>6</v>
      </c>
      <c r="B49" s="142" t="s">
        <v>7</v>
      </c>
      <c r="C49" s="143"/>
      <c r="D49" s="144"/>
      <c r="E49" s="27"/>
      <c r="F49" s="27"/>
      <c r="G49" s="27"/>
      <c r="H49" s="27"/>
      <c r="I49" s="27"/>
      <c r="J49" s="27"/>
      <c r="K49" s="27"/>
      <c r="L49" s="132">
        <f t="shared" si="1"/>
        <v>0</v>
      </c>
      <c r="M49" s="134"/>
    </row>
    <row r="50" spans="1:13" s="1" customFormat="1" x14ac:dyDescent="0.25">
      <c r="A50" s="27">
        <v>7</v>
      </c>
      <c r="B50" s="142" t="s">
        <v>43</v>
      </c>
      <c r="C50" s="143"/>
      <c r="D50" s="144"/>
      <c r="E50" s="27"/>
      <c r="F50" s="27"/>
      <c r="G50" s="27"/>
      <c r="H50" s="27"/>
      <c r="I50" s="27"/>
      <c r="J50" s="27"/>
      <c r="K50" s="27"/>
      <c r="L50" s="132">
        <f t="shared" si="1"/>
        <v>0</v>
      </c>
      <c r="M50" s="134"/>
    </row>
    <row r="51" spans="1:13" s="1" customFormat="1" x14ac:dyDescent="0.25">
      <c r="A51" s="27">
        <v>8</v>
      </c>
      <c r="B51" s="142" t="s">
        <v>44</v>
      </c>
      <c r="C51" s="143"/>
      <c r="D51" s="144"/>
      <c r="E51" s="27"/>
      <c r="F51" s="27"/>
      <c r="G51" s="27"/>
      <c r="H51" s="27"/>
      <c r="I51" s="27"/>
      <c r="J51" s="27"/>
      <c r="K51" s="27"/>
      <c r="L51" s="132">
        <f t="shared" si="1"/>
        <v>0</v>
      </c>
      <c r="M51" s="134"/>
    </row>
    <row r="52" spans="1:13" s="1" customFormat="1" x14ac:dyDescent="0.25">
      <c r="A52" s="27">
        <v>9</v>
      </c>
      <c r="B52" s="142" t="s">
        <v>45</v>
      </c>
      <c r="C52" s="143"/>
      <c r="D52" s="144"/>
      <c r="E52" s="28"/>
      <c r="F52" s="27"/>
      <c r="G52" s="27"/>
      <c r="H52" s="27"/>
      <c r="I52" s="27"/>
      <c r="J52" s="27"/>
      <c r="K52" s="27"/>
      <c r="L52" s="132">
        <f t="shared" si="1"/>
        <v>0</v>
      </c>
      <c r="M52" s="134"/>
    </row>
    <row r="58" spans="1:13" x14ac:dyDescent="0.25">
      <c r="I58">
        <v>50000</v>
      </c>
    </row>
    <row r="59" spans="1:13" x14ac:dyDescent="0.25">
      <c r="I59">
        <v>1</v>
      </c>
    </row>
    <row r="60" spans="1:13" x14ac:dyDescent="0.25">
      <c r="I60">
        <v>49</v>
      </c>
    </row>
  </sheetData>
  <mergeCells count="107">
    <mergeCell ref="B51:D51"/>
    <mergeCell ref="L51:M51"/>
    <mergeCell ref="B52:D52"/>
    <mergeCell ref="L52:M52"/>
    <mergeCell ref="B48:D48"/>
    <mergeCell ref="L48:M48"/>
    <mergeCell ref="B49:D49"/>
    <mergeCell ref="L49:M49"/>
    <mergeCell ref="B50:D50"/>
    <mergeCell ref="L50:M50"/>
    <mergeCell ref="B45:D45"/>
    <mergeCell ref="L45:M45"/>
    <mergeCell ref="B46:D46"/>
    <mergeCell ref="L46:M46"/>
    <mergeCell ref="B47:D47"/>
    <mergeCell ref="L47:M47"/>
    <mergeCell ref="A41:M41"/>
    <mergeCell ref="A42:A43"/>
    <mergeCell ref="B42:D43"/>
    <mergeCell ref="E42:M42"/>
    <mergeCell ref="L43:M43"/>
    <mergeCell ref="B44:D44"/>
    <mergeCell ref="L44:M44"/>
    <mergeCell ref="A39:B39"/>
    <mergeCell ref="C39:E39"/>
    <mergeCell ref="F39:H39"/>
    <mergeCell ref="I39:K39"/>
    <mergeCell ref="L39:M39"/>
    <mergeCell ref="A40:B40"/>
    <mergeCell ref="C40:E40"/>
    <mergeCell ref="F40:H40"/>
    <mergeCell ref="I40:K40"/>
    <mergeCell ref="L40:M40"/>
    <mergeCell ref="B33:D33"/>
    <mergeCell ref="L33:M33"/>
    <mergeCell ref="B34:D34"/>
    <mergeCell ref="L34:M34"/>
    <mergeCell ref="A35:M35"/>
    <mergeCell ref="A38:M38"/>
    <mergeCell ref="B30:D30"/>
    <mergeCell ref="L30:M30"/>
    <mergeCell ref="B31:D31"/>
    <mergeCell ref="L31:M31"/>
    <mergeCell ref="B32:D32"/>
    <mergeCell ref="L32:M32"/>
    <mergeCell ref="B28:D28"/>
    <mergeCell ref="L28:M28"/>
    <mergeCell ref="B29:D29"/>
    <mergeCell ref="L29:M29"/>
    <mergeCell ref="A24:A25"/>
    <mergeCell ref="B24:D25"/>
    <mergeCell ref="E24:M24"/>
    <mergeCell ref="L25:M25"/>
    <mergeCell ref="B26:D26"/>
    <mergeCell ref="L26:M26"/>
    <mergeCell ref="A23:D23"/>
    <mergeCell ref="E23:M23"/>
    <mergeCell ref="B18:C18"/>
    <mergeCell ref="E18:I18"/>
    <mergeCell ref="J18:L18"/>
    <mergeCell ref="B19:C19"/>
    <mergeCell ref="E19:I20"/>
    <mergeCell ref="J19:L20"/>
    <mergeCell ref="B27:D27"/>
    <mergeCell ref="L27:M27"/>
    <mergeCell ref="B12:C12"/>
    <mergeCell ref="E12:F12"/>
    <mergeCell ref="G12:I12"/>
    <mergeCell ref="J12:L12"/>
    <mergeCell ref="B13:C13"/>
    <mergeCell ref="G13:I13"/>
    <mergeCell ref="J13:L13"/>
    <mergeCell ref="A21:M21"/>
    <mergeCell ref="A22:C22"/>
    <mergeCell ref="D22:E22"/>
    <mergeCell ref="F22:G22"/>
    <mergeCell ref="H22:M22"/>
    <mergeCell ref="B16:C16"/>
    <mergeCell ref="G16:I16"/>
    <mergeCell ref="J16:L16"/>
    <mergeCell ref="B17:C17"/>
    <mergeCell ref="G17:I17"/>
    <mergeCell ref="J17:L17"/>
    <mergeCell ref="B14:C14"/>
    <mergeCell ref="G14:I14"/>
    <mergeCell ref="J14:L14"/>
    <mergeCell ref="B15:C15"/>
    <mergeCell ref="G15:I15"/>
    <mergeCell ref="J15:L15"/>
    <mergeCell ref="A2:M2"/>
    <mergeCell ref="A3:C3"/>
    <mergeCell ref="D3:E3"/>
    <mergeCell ref="F3:K3"/>
    <mergeCell ref="L3:M3"/>
    <mergeCell ref="A4:M4"/>
    <mergeCell ref="B11:C11"/>
    <mergeCell ref="E11:F11"/>
    <mergeCell ref="G11:I11"/>
    <mergeCell ref="J11:L11"/>
    <mergeCell ref="C6:E6"/>
    <mergeCell ref="F6:G6"/>
    <mergeCell ref="H6:L6"/>
    <mergeCell ref="A8:M8"/>
    <mergeCell ref="B10:C10"/>
    <mergeCell ref="E10:F10"/>
    <mergeCell ref="G10:I10"/>
    <mergeCell ref="J10:L10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113"/>
  <sheetViews>
    <sheetView topLeftCell="A48" zoomScaleNormal="100" workbookViewId="0">
      <selection activeCell="D68" sqref="D68"/>
    </sheetView>
  </sheetViews>
  <sheetFormatPr defaultRowHeight="15" x14ac:dyDescent="0.25"/>
  <cols>
    <col min="1" max="1" width="20.28515625" customWidth="1"/>
    <col min="2" max="2" width="10.5703125" customWidth="1"/>
    <col min="3" max="3" width="9.140625" customWidth="1"/>
    <col min="4" max="4" width="9.7109375" customWidth="1"/>
    <col min="5" max="5" width="10.5703125" customWidth="1"/>
    <col min="13" max="13" width="11.42578125" customWidth="1"/>
    <col min="14" max="14" width="14.85546875" customWidth="1"/>
    <col min="15" max="15" width="17.7109375" customWidth="1"/>
    <col min="16" max="16" width="11.85546875" customWidth="1"/>
    <col min="17" max="17" width="10.5703125" customWidth="1"/>
  </cols>
  <sheetData>
    <row r="1" spans="1:16" s="87" customFormat="1" x14ac:dyDescent="0.25">
      <c r="A1" s="87" t="s">
        <v>128</v>
      </c>
    </row>
    <row r="2" spans="1:16" s="1" customFormat="1" ht="15.75" x14ac:dyDescent="0.25">
      <c r="A2" s="97" t="s">
        <v>0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</row>
    <row r="3" spans="1:16" s="31" customFormat="1" x14ac:dyDescent="0.25">
      <c r="A3" s="98" t="s">
        <v>1</v>
      </c>
      <c r="B3" s="99"/>
      <c r="C3" s="100"/>
      <c r="D3" s="101" t="s">
        <v>66</v>
      </c>
      <c r="E3" s="102"/>
      <c r="F3" s="103" t="s">
        <v>2</v>
      </c>
      <c r="G3" s="104"/>
      <c r="H3" s="104"/>
      <c r="I3" s="104"/>
      <c r="J3" s="104"/>
      <c r="K3" s="105"/>
      <c r="L3" s="106">
        <v>45183</v>
      </c>
      <c r="M3" s="107"/>
    </row>
    <row r="4" spans="1:16" s="1" customFormat="1" x14ac:dyDescent="0.25">
      <c r="A4" s="108" t="s">
        <v>3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10"/>
    </row>
    <row r="5" spans="1:16" s="1" customFormat="1" x14ac:dyDescent="0.25">
      <c r="A5" s="2"/>
      <c r="B5" s="3"/>
      <c r="C5" s="3"/>
      <c r="D5" s="3">
        <v>281</v>
      </c>
      <c r="E5" s="3"/>
      <c r="F5" s="4"/>
      <c r="G5" s="4"/>
      <c r="H5" s="4"/>
      <c r="I5" s="4"/>
      <c r="J5" s="4"/>
      <c r="K5" s="4"/>
      <c r="L5" s="4"/>
      <c r="M5" s="5"/>
    </row>
    <row r="6" spans="1:16" s="1" customFormat="1" x14ac:dyDescent="0.25">
      <c r="A6" s="6" t="s">
        <v>4</v>
      </c>
      <c r="B6" s="7"/>
      <c r="C6" s="120">
        <v>789755</v>
      </c>
      <c r="D6" s="121"/>
      <c r="E6" s="113"/>
      <c r="F6" s="122" t="s">
        <v>5</v>
      </c>
      <c r="G6" s="194"/>
      <c r="H6" s="4"/>
      <c r="I6" s="117">
        <v>6397750.4500000002</v>
      </c>
      <c r="J6" s="118"/>
      <c r="K6" s="118"/>
      <c r="L6" s="119"/>
      <c r="M6" s="5"/>
      <c r="N6" s="52"/>
    </row>
    <row r="7" spans="1:16" s="1" customFormat="1" x14ac:dyDescent="0.25">
      <c r="A7" s="8"/>
      <c r="B7" s="9"/>
      <c r="C7" s="9"/>
      <c r="D7" s="9"/>
      <c r="E7" s="9"/>
      <c r="F7" s="10"/>
      <c r="G7" s="10"/>
      <c r="H7" s="10" t="s">
        <v>116</v>
      </c>
      <c r="I7" s="4"/>
      <c r="J7" s="4"/>
      <c r="K7" s="4"/>
      <c r="L7" s="4"/>
      <c r="M7" s="5"/>
    </row>
    <row r="8" spans="1:16" s="1" customFormat="1" ht="18.75" customHeight="1" x14ac:dyDescent="0.25">
      <c r="A8" s="195" t="s">
        <v>120</v>
      </c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7"/>
    </row>
    <row r="9" spans="1:16" s="1" customFormat="1" x14ac:dyDescent="0.25">
      <c r="A9" s="71"/>
      <c r="B9" s="72"/>
      <c r="C9" s="72"/>
      <c r="D9" s="72"/>
      <c r="E9" s="72"/>
      <c r="F9" s="69"/>
      <c r="G9" s="69"/>
      <c r="H9" s="69"/>
      <c r="I9" s="69"/>
      <c r="J9" s="69"/>
      <c r="K9" s="69"/>
      <c r="L9" s="69"/>
      <c r="M9" s="70"/>
    </row>
    <row r="10" spans="1:16" s="1" customFormat="1" x14ac:dyDescent="0.25">
      <c r="A10" s="73" t="s">
        <v>7</v>
      </c>
      <c r="B10" s="171">
        <v>7054.5</v>
      </c>
      <c r="C10" s="171"/>
      <c r="D10" s="74" t="s">
        <v>8</v>
      </c>
      <c r="E10" s="198">
        <v>57311</v>
      </c>
      <c r="F10" s="192"/>
      <c r="G10" s="193" t="s">
        <v>9</v>
      </c>
      <c r="H10" s="172"/>
      <c r="I10" s="173"/>
      <c r="J10" s="174">
        <v>66052357.590000004</v>
      </c>
      <c r="K10" s="175"/>
      <c r="L10" s="176"/>
      <c r="M10" s="75"/>
      <c r="O10" s="51"/>
      <c r="P10" s="51"/>
    </row>
    <row r="11" spans="1:16" s="1" customFormat="1" x14ac:dyDescent="0.25">
      <c r="A11" s="73" t="s">
        <v>10</v>
      </c>
      <c r="B11" s="171">
        <v>8248</v>
      </c>
      <c r="C11" s="171"/>
      <c r="D11" s="74" t="s">
        <v>11</v>
      </c>
      <c r="E11" s="198">
        <v>1984567</v>
      </c>
      <c r="F11" s="192"/>
      <c r="G11" s="193" t="s">
        <v>12</v>
      </c>
      <c r="H11" s="172"/>
      <c r="I11" s="173"/>
      <c r="J11" s="174">
        <v>1280044</v>
      </c>
      <c r="K11" s="175"/>
      <c r="L11" s="176"/>
      <c r="M11" s="75"/>
      <c r="O11" s="51"/>
    </row>
    <row r="12" spans="1:16" s="1" customFormat="1" x14ac:dyDescent="0.25">
      <c r="A12" s="76" t="s">
        <v>13</v>
      </c>
      <c r="B12" s="171">
        <v>34922.5</v>
      </c>
      <c r="C12" s="171"/>
      <c r="D12" s="77" t="s">
        <v>14</v>
      </c>
      <c r="E12" s="191">
        <f>+E11+E10</f>
        <v>2041878</v>
      </c>
      <c r="F12" s="192"/>
      <c r="G12" s="193" t="s">
        <v>15</v>
      </c>
      <c r="H12" s="172"/>
      <c r="I12" s="173"/>
      <c r="J12" s="174">
        <v>1984567</v>
      </c>
      <c r="K12" s="175"/>
      <c r="L12" s="176"/>
      <c r="M12" s="75"/>
      <c r="N12" s="95"/>
      <c r="O12" s="51"/>
    </row>
    <row r="13" spans="1:16" s="1" customFormat="1" x14ac:dyDescent="0.25">
      <c r="A13" s="78" t="s">
        <v>16</v>
      </c>
      <c r="B13" s="171">
        <v>7075</v>
      </c>
      <c r="C13" s="171"/>
      <c r="D13" s="79"/>
      <c r="E13" s="80"/>
      <c r="F13" s="81"/>
      <c r="G13" s="172" t="s">
        <v>17</v>
      </c>
      <c r="H13" s="172"/>
      <c r="I13" s="173"/>
      <c r="J13" s="174">
        <v>2464351</v>
      </c>
      <c r="K13" s="175"/>
      <c r="L13" s="176"/>
      <c r="M13" s="70"/>
      <c r="O13" s="51"/>
    </row>
    <row r="14" spans="1:16" s="1" customFormat="1" hidden="1" x14ac:dyDescent="0.25">
      <c r="A14" s="78" t="s">
        <v>18</v>
      </c>
      <c r="B14" s="171">
        <v>0.9</v>
      </c>
      <c r="C14" s="171"/>
      <c r="D14" s="69"/>
      <c r="E14" s="69"/>
      <c r="F14" s="69"/>
      <c r="G14" s="172" t="s">
        <v>19</v>
      </c>
      <c r="H14" s="172"/>
      <c r="I14" s="173"/>
      <c r="J14" s="174">
        <v>0</v>
      </c>
      <c r="K14" s="175"/>
      <c r="L14" s="176"/>
      <c r="M14" s="70"/>
    </row>
    <row r="15" spans="1:16" s="1" customFormat="1" x14ac:dyDescent="0.25">
      <c r="A15" s="78" t="s">
        <v>20</v>
      </c>
      <c r="B15" s="171">
        <v>6.5</v>
      </c>
      <c r="C15" s="171"/>
      <c r="D15" s="69"/>
      <c r="E15" s="69"/>
      <c r="F15" s="69"/>
      <c r="G15" s="172" t="s">
        <v>21</v>
      </c>
      <c r="H15" s="172"/>
      <c r="I15" s="173"/>
      <c r="J15" s="174">
        <f>+J10+J12-J11-J13-J14</f>
        <v>64292529.590000004</v>
      </c>
      <c r="K15" s="175"/>
      <c r="L15" s="176"/>
      <c r="M15" s="70"/>
    </row>
    <row r="16" spans="1:16" s="1" customFormat="1" x14ac:dyDescent="0.25">
      <c r="A16" s="78" t="s">
        <v>22</v>
      </c>
      <c r="B16" s="177">
        <v>25</v>
      </c>
      <c r="C16" s="177"/>
      <c r="D16" s="69"/>
      <c r="E16" s="69"/>
      <c r="F16" s="69"/>
      <c r="G16" s="172" t="s">
        <v>23</v>
      </c>
      <c r="H16" s="172"/>
      <c r="I16" s="173"/>
      <c r="J16" s="174">
        <v>64292529.700000003</v>
      </c>
      <c r="K16" s="175"/>
      <c r="L16" s="176"/>
      <c r="M16" s="70"/>
    </row>
    <row r="17" spans="1:13" s="1" customFormat="1" x14ac:dyDescent="0.25">
      <c r="A17" s="78" t="s">
        <v>122</v>
      </c>
      <c r="B17" s="171">
        <v>0</v>
      </c>
      <c r="C17" s="171"/>
      <c r="D17" s="69"/>
      <c r="E17" s="78"/>
      <c r="F17" s="69"/>
      <c r="G17" s="172" t="s">
        <v>25</v>
      </c>
      <c r="H17" s="172"/>
      <c r="I17" s="173"/>
      <c r="J17" s="174">
        <f>J15-J16</f>
        <v>-0.10999999940395355</v>
      </c>
      <c r="K17" s="175"/>
      <c r="L17" s="176"/>
      <c r="M17" s="70"/>
    </row>
    <row r="18" spans="1:13" s="1" customFormat="1" x14ac:dyDescent="0.25">
      <c r="A18" s="78" t="s">
        <v>125</v>
      </c>
      <c r="B18" s="171">
        <v>3835</v>
      </c>
      <c r="C18" s="171"/>
      <c r="D18" s="69"/>
      <c r="E18" s="188" t="s">
        <v>27</v>
      </c>
      <c r="F18" s="188"/>
      <c r="G18" s="188"/>
      <c r="H18" s="188"/>
      <c r="I18" s="189"/>
      <c r="J18" s="190">
        <v>997185.98</v>
      </c>
      <c r="K18" s="190"/>
      <c r="L18" s="190"/>
      <c r="M18" s="82"/>
    </row>
    <row r="19" spans="1:13" s="1" customFormat="1" x14ac:dyDescent="0.25">
      <c r="A19" s="83" t="s">
        <v>28</v>
      </c>
      <c r="B19" s="183">
        <f>SUM(B10:B18)</f>
        <v>61167.4</v>
      </c>
      <c r="C19" s="183"/>
      <c r="D19" s="69"/>
      <c r="E19" s="184"/>
      <c r="F19" s="185"/>
      <c r="G19" s="185"/>
      <c r="H19" s="185"/>
      <c r="I19" s="185"/>
      <c r="J19" s="186"/>
      <c r="K19" s="186"/>
      <c r="L19" s="186"/>
      <c r="M19" s="70"/>
    </row>
    <row r="20" spans="1:13" s="1" customFormat="1" ht="15.75" x14ac:dyDescent="0.25">
      <c r="A20" s="83" t="s">
        <v>127</v>
      </c>
      <c r="B20" s="170">
        <f>B19-B18</f>
        <v>57332.4</v>
      </c>
      <c r="C20" s="170"/>
      <c r="D20" s="69"/>
      <c r="E20" s="84"/>
      <c r="F20" s="85"/>
      <c r="G20" s="85"/>
      <c r="H20" s="85"/>
      <c r="I20" s="85"/>
      <c r="J20" s="86"/>
      <c r="K20" s="86"/>
      <c r="L20" s="86"/>
      <c r="M20" s="70"/>
    </row>
    <row r="21" spans="1:13" s="1" customFormat="1" ht="15.75" x14ac:dyDescent="0.25">
      <c r="A21" s="96"/>
      <c r="B21" s="178"/>
      <c r="C21" s="179"/>
      <c r="D21" s="69"/>
      <c r="E21" s="88"/>
      <c r="F21" s="89"/>
      <c r="G21" s="89"/>
      <c r="H21" s="89"/>
      <c r="I21" s="89"/>
      <c r="J21" s="90"/>
      <c r="K21" s="90"/>
      <c r="L21" s="90"/>
      <c r="M21" s="70"/>
    </row>
    <row r="22" spans="1:13" s="1" customFormat="1" x14ac:dyDescent="0.25">
      <c r="A22" s="108"/>
      <c r="B22" s="187"/>
      <c r="C22" s="187"/>
      <c r="D22" s="109"/>
      <c r="E22" s="109"/>
      <c r="F22" s="109"/>
      <c r="G22" s="109"/>
      <c r="H22" s="109"/>
      <c r="I22" s="109"/>
      <c r="J22" s="187"/>
      <c r="K22" s="187"/>
      <c r="L22" s="187"/>
      <c r="M22" s="110"/>
    </row>
    <row r="23" spans="1:13" s="1" customFormat="1" x14ac:dyDescent="0.25">
      <c r="A23" s="132" t="s">
        <v>30</v>
      </c>
      <c r="B23" s="133"/>
      <c r="C23" s="134"/>
      <c r="D23" s="135" t="s">
        <v>77</v>
      </c>
      <c r="E23" s="136"/>
      <c r="F23" s="135" t="s">
        <v>31</v>
      </c>
      <c r="G23" s="137"/>
      <c r="H23" s="138">
        <v>45183</v>
      </c>
      <c r="I23" s="138"/>
      <c r="J23" s="138"/>
      <c r="K23" s="138"/>
      <c r="L23" s="138"/>
      <c r="M23" s="139"/>
    </row>
    <row r="24" spans="1:13" s="1" customFormat="1" x14ac:dyDescent="0.25">
      <c r="A24" s="145" t="s">
        <v>32</v>
      </c>
      <c r="B24" s="146"/>
      <c r="C24" s="146"/>
      <c r="D24" s="147"/>
      <c r="E24" s="145" t="s">
        <v>111</v>
      </c>
      <c r="F24" s="146"/>
      <c r="G24" s="146"/>
      <c r="H24" s="146"/>
      <c r="I24" s="146"/>
      <c r="J24" s="146"/>
      <c r="K24" s="146"/>
      <c r="L24" s="146"/>
      <c r="M24" s="147"/>
    </row>
    <row r="25" spans="1:13" s="1" customFormat="1" x14ac:dyDescent="0.25">
      <c r="A25" s="148" t="s">
        <v>34</v>
      </c>
      <c r="B25" s="150" t="s">
        <v>35</v>
      </c>
      <c r="C25" s="151"/>
      <c r="D25" s="152"/>
      <c r="E25" s="156" t="s">
        <v>36</v>
      </c>
      <c r="F25" s="157"/>
      <c r="G25" s="157"/>
      <c r="H25" s="157"/>
      <c r="I25" s="157"/>
      <c r="J25" s="157"/>
      <c r="K25" s="157"/>
      <c r="L25" s="157"/>
      <c r="M25" s="158"/>
    </row>
    <row r="26" spans="1:13" s="1" customFormat="1" x14ac:dyDescent="0.25">
      <c r="A26" s="149"/>
      <c r="B26" s="153"/>
      <c r="C26" s="154"/>
      <c r="D26" s="155"/>
      <c r="E26" s="26">
        <v>50</v>
      </c>
      <c r="F26" s="26">
        <v>30</v>
      </c>
      <c r="G26" s="26">
        <v>10</v>
      </c>
      <c r="H26" s="26">
        <v>34</v>
      </c>
      <c r="I26" s="26">
        <v>26</v>
      </c>
      <c r="J26" s="26">
        <v>1</v>
      </c>
      <c r="K26" s="26">
        <v>500</v>
      </c>
      <c r="L26" s="159" t="s">
        <v>37</v>
      </c>
      <c r="M26" s="160"/>
    </row>
    <row r="27" spans="1:13" s="1" customFormat="1" x14ac:dyDescent="0.25">
      <c r="A27" s="27">
        <v>1</v>
      </c>
      <c r="B27" s="142" t="s">
        <v>38</v>
      </c>
      <c r="C27" s="143"/>
      <c r="D27" s="144"/>
      <c r="E27" s="27">
        <v>317</v>
      </c>
      <c r="F27" s="27"/>
      <c r="G27" s="27"/>
      <c r="H27" s="27"/>
      <c r="I27" s="27"/>
      <c r="J27" s="27"/>
      <c r="K27" s="27"/>
      <c r="L27" s="132">
        <f>SUM(E27:K27)</f>
        <v>317</v>
      </c>
      <c r="M27" s="134"/>
    </row>
    <row r="28" spans="1:13" s="1" customFormat="1" x14ac:dyDescent="0.25">
      <c r="A28" s="27">
        <v>2</v>
      </c>
      <c r="B28" s="142" t="s">
        <v>39</v>
      </c>
      <c r="C28" s="143"/>
      <c r="D28" s="144"/>
      <c r="E28" s="27">
        <v>428</v>
      </c>
      <c r="F28" s="27">
        <v>345</v>
      </c>
      <c r="G28" s="27">
        <v>127</v>
      </c>
      <c r="H28" s="27"/>
      <c r="I28" s="27"/>
      <c r="J28" s="27"/>
      <c r="K28" s="27"/>
      <c r="L28" s="132">
        <f>SUM(E28:K28)</f>
        <v>900</v>
      </c>
      <c r="M28" s="134"/>
    </row>
    <row r="29" spans="1:13" s="1" customFormat="1" x14ac:dyDescent="0.25">
      <c r="A29" s="27">
        <v>3</v>
      </c>
      <c r="B29" s="142" t="s">
        <v>40</v>
      </c>
      <c r="C29" s="143"/>
      <c r="D29" s="144"/>
      <c r="E29" s="27">
        <v>222</v>
      </c>
      <c r="F29" s="27">
        <v>114</v>
      </c>
      <c r="G29" s="27"/>
      <c r="H29" s="27"/>
      <c r="I29" s="27"/>
      <c r="J29" s="27"/>
      <c r="K29" s="27"/>
      <c r="L29" s="132">
        <f>SUM(E29:K29)</f>
        <v>336</v>
      </c>
      <c r="M29" s="134"/>
    </row>
    <row r="30" spans="1:13" s="1" customFormat="1" x14ac:dyDescent="0.25">
      <c r="A30" s="27">
        <v>4</v>
      </c>
      <c r="B30" s="142" t="s">
        <v>41</v>
      </c>
      <c r="C30" s="143"/>
      <c r="D30" s="144"/>
      <c r="E30" s="27">
        <v>362</v>
      </c>
      <c r="F30" s="27"/>
      <c r="G30" s="27"/>
      <c r="H30" s="27"/>
      <c r="I30" s="27"/>
      <c r="J30" s="27"/>
      <c r="K30" s="27"/>
      <c r="L30" s="132">
        <f>SUM(E30:K30)</f>
        <v>362</v>
      </c>
      <c r="M30" s="134"/>
    </row>
    <row r="31" spans="1:13" s="1" customFormat="1" x14ac:dyDescent="0.25">
      <c r="A31" s="27">
        <v>5</v>
      </c>
      <c r="B31" s="142" t="s">
        <v>42</v>
      </c>
      <c r="C31" s="143"/>
      <c r="D31" s="144"/>
      <c r="E31" s="27">
        <v>431</v>
      </c>
      <c r="F31" s="27">
        <v>54</v>
      </c>
      <c r="G31" s="27">
        <v>16</v>
      </c>
      <c r="H31" s="27"/>
      <c r="I31" s="27"/>
      <c r="J31" s="27"/>
      <c r="K31" s="27"/>
      <c r="L31" s="132">
        <f>SUM(E31:K31)</f>
        <v>501</v>
      </c>
      <c r="M31" s="134"/>
    </row>
    <row r="32" spans="1:13" s="1" customFormat="1" x14ac:dyDescent="0.25">
      <c r="A32" s="27">
        <v>6</v>
      </c>
      <c r="B32" s="142" t="s">
        <v>7</v>
      </c>
      <c r="C32" s="143"/>
      <c r="D32" s="144"/>
      <c r="E32" s="27">
        <v>378</v>
      </c>
      <c r="F32" s="27">
        <v>206</v>
      </c>
      <c r="G32" s="27">
        <v>91</v>
      </c>
      <c r="H32" s="27"/>
      <c r="I32" s="27"/>
      <c r="J32" s="27"/>
      <c r="K32" s="27"/>
      <c r="L32" s="132">
        <f>SUM(E32:K32)</f>
        <v>675</v>
      </c>
      <c r="M32" s="134"/>
    </row>
    <row r="33" spans="1:14" s="1" customFormat="1" x14ac:dyDescent="0.25">
      <c r="A33" s="27">
        <v>7</v>
      </c>
      <c r="B33" s="142" t="s">
        <v>43</v>
      </c>
      <c r="C33" s="143"/>
      <c r="D33" s="144"/>
      <c r="E33" s="27">
        <v>81</v>
      </c>
      <c r="F33" s="27">
        <v>5</v>
      </c>
      <c r="G33" s="27"/>
      <c r="H33" s="27"/>
      <c r="I33" s="27"/>
      <c r="J33" s="27"/>
      <c r="K33" s="27"/>
      <c r="L33" s="132">
        <f>SUM(E33:K33)</f>
        <v>86</v>
      </c>
      <c r="M33" s="134"/>
    </row>
    <row r="34" spans="1:14" s="1" customFormat="1" x14ac:dyDescent="0.25">
      <c r="A34" s="27">
        <v>8</v>
      </c>
      <c r="B34" s="142" t="s">
        <v>44</v>
      </c>
      <c r="C34" s="143"/>
      <c r="D34" s="144"/>
      <c r="E34" s="27">
        <v>38</v>
      </c>
      <c r="F34" s="27"/>
      <c r="G34" s="27"/>
      <c r="H34" s="27"/>
      <c r="I34" s="27"/>
      <c r="J34" s="27"/>
      <c r="K34" s="27"/>
      <c r="L34" s="132">
        <f>SUM(E34:K34)</f>
        <v>38</v>
      </c>
      <c r="M34" s="134"/>
    </row>
    <row r="35" spans="1:14" s="1" customFormat="1" x14ac:dyDescent="0.25">
      <c r="A35" s="27">
        <v>9</v>
      </c>
      <c r="B35" s="142" t="s">
        <v>45</v>
      </c>
      <c r="C35" s="143"/>
      <c r="D35" s="144"/>
      <c r="E35" s="28"/>
      <c r="F35" s="27"/>
      <c r="G35" s="27"/>
      <c r="H35" s="27">
        <v>151</v>
      </c>
      <c r="I35" s="27"/>
      <c r="J35" s="27"/>
      <c r="K35" s="27"/>
      <c r="L35" s="132">
        <f>SUM(E35:K35)</f>
        <v>151</v>
      </c>
      <c r="M35" s="134"/>
    </row>
    <row r="36" spans="1:14" s="1" customFormat="1" x14ac:dyDescent="0.25">
      <c r="A36" s="27">
        <v>10</v>
      </c>
      <c r="B36" s="142" t="s">
        <v>105</v>
      </c>
      <c r="C36" s="143"/>
      <c r="D36" s="144"/>
      <c r="E36" s="27">
        <v>140</v>
      </c>
      <c r="F36" s="27"/>
      <c r="G36" s="27"/>
      <c r="H36" s="27"/>
      <c r="I36" s="27"/>
      <c r="J36" s="27"/>
      <c r="K36" s="27"/>
      <c r="L36" s="132">
        <f>SUM(E36:K36)</f>
        <v>140</v>
      </c>
      <c r="M36" s="134"/>
    </row>
    <row r="37" spans="1:14" x14ac:dyDescent="0.25">
      <c r="A37" s="200">
        <v>45182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10"/>
    </row>
    <row r="38" spans="1:14" ht="60" x14ac:dyDescent="0.25">
      <c r="A38" s="40" t="s">
        <v>67</v>
      </c>
      <c r="B38" s="65" t="s">
        <v>104</v>
      </c>
      <c r="C38" s="65" t="s">
        <v>113</v>
      </c>
      <c r="D38" s="49" t="s">
        <v>112</v>
      </c>
      <c r="E38" s="49" t="s">
        <v>114</v>
      </c>
      <c r="F38" s="63" t="s">
        <v>68</v>
      </c>
      <c r="G38" s="65" t="s">
        <v>118</v>
      </c>
      <c r="H38" s="49" t="s">
        <v>117</v>
      </c>
      <c r="I38" s="49" t="s">
        <v>115</v>
      </c>
      <c r="J38" s="49" t="s">
        <v>110</v>
      </c>
      <c r="K38" s="91" t="s">
        <v>119</v>
      </c>
      <c r="L38" s="49" t="s">
        <v>103</v>
      </c>
      <c r="M38" s="49"/>
    </row>
    <row r="39" spans="1:14" x14ac:dyDescent="0.25">
      <c r="A39" s="41"/>
      <c r="B39" s="92" t="s">
        <v>69</v>
      </c>
      <c r="C39" s="42" t="s">
        <v>69</v>
      </c>
      <c r="D39" s="42" t="s">
        <v>69</v>
      </c>
      <c r="E39" s="42" t="s">
        <v>69</v>
      </c>
      <c r="F39" s="42" t="s">
        <v>69</v>
      </c>
      <c r="G39" s="92" t="s">
        <v>69</v>
      </c>
      <c r="H39" s="42" t="s">
        <v>69</v>
      </c>
      <c r="I39" s="42" t="s">
        <v>69</v>
      </c>
      <c r="J39" s="42" t="s">
        <v>69</v>
      </c>
      <c r="K39" s="43" t="s">
        <v>69</v>
      </c>
      <c r="L39" s="43" t="s">
        <v>69</v>
      </c>
      <c r="M39" s="50" t="s">
        <v>76</v>
      </c>
      <c r="N39" s="58"/>
    </row>
    <row r="40" spans="1:14" x14ac:dyDescent="0.25">
      <c r="A40" s="44" t="s">
        <v>70</v>
      </c>
      <c r="B40" s="66">
        <v>1241012</v>
      </c>
      <c r="C40" s="66">
        <v>0</v>
      </c>
      <c r="D40" s="66">
        <v>147130</v>
      </c>
      <c r="E40" s="66">
        <v>87485</v>
      </c>
      <c r="F40" s="66">
        <v>324039</v>
      </c>
      <c r="G40" s="66">
        <v>106500</v>
      </c>
      <c r="H40" s="66">
        <v>0</v>
      </c>
      <c r="I40" s="66">
        <v>57184</v>
      </c>
      <c r="J40" s="66">
        <v>0</v>
      </c>
      <c r="K40" s="67">
        <v>7077</v>
      </c>
      <c r="L40" s="68">
        <v>4</v>
      </c>
      <c r="M40" s="45"/>
    </row>
    <row r="41" spans="1:14" x14ac:dyDescent="0.25">
      <c r="A41" s="44" t="s">
        <v>71</v>
      </c>
      <c r="B41" s="68"/>
      <c r="C41" s="45"/>
      <c r="D41" s="68"/>
      <c r="E41" s="45"/>
      <c r="F41" s="45"/>
      <c r="G41" s="68"/>
      <c r="H41" s="68"/>
      <c r="I41" s="45"/>
      <c r="J41" s="45"/>
      <c r="K41" s="46"/>
      <c r="L41" s="45"/>
      <c r="M41" s="45"/>
    </row>
    <row r="42" spans="1:14" x14ac:dyDescent="0.25">
      <c r="A42" s="44" t="s">
        <v>72</v>
      </c>
      <c r="B42" s="68"/>
      <c r="C42" s="45"/>
      <c r="D42" s="45"/>
      <c r="E42" s="45"/>
      <c r="F42" s="45"/>
      <c r="G42" s="68"/>
      <c r="H42" s="45"/>
      <c r="I42" s="45"/>
      <c r="J42" s="45"/>
      <c r="K42" s="46"/>
      <c r="L42" s="45"/>
      <c r="M42" s="45"/>
    </row>
    <row r="43" spans="1:14" x14ac:dyDescent="0.25">
      <c r="A43" s="44" t="s">
        <v>73</v>
      </c>
      <c r="B43" s="68"/>
      <c r="C43" s="45"/>
      <c r="D43" s="45"/>
      <c r="E43" s="45"/>
      <c r="F43" s="45"/>
      <c r="G43" s="68"/>
      <c r="H43" s="45"/>
      <c r="I43" s="45"/>
      <c r="J43" s="45"/>
      <c r="K43" s="46"/>
      <c r="L43" s="45"/>
      <c r="M43" s="45"/>
    </row>
    <row r="44" spans="1:14" x14ac:dyDescent="0.25">
      <c r="A44" s="44" t="s">
        <v>74</v>
      </c>
      <c r="B44" s="68"/>
      <c r="C44" s="45"/>
      <c r="D44" s="45"/>
      <c r="E44" s="45"/>
      <c r="F44" s="45"/>
      <c r="G44" s="68"/>
      <c r="H44" s="45"/>
      <c r="I44" s="45"/>
      <c r="J44" s="45"/>
      <c r="K44" s="46"/>
      <c r="L44" s="45"/>
      <c r="M44" s="45"/>
    </row>
    <row r="45" spans="1:14" ht="16.5" thickBot="1" x14ac:dyDescent="0.3">
      <c r="A45" s="44" t="s">
        <v>75</v>
      </c>
      <c r="B45" s="64">
        <f>B40+B41-B42-B43-B44</f>
        <v>1241012</v>
      </c>
      <c r="C45" s="47">
        <f>C40+C41-C42-C43-C44</f>
        <v>0</v>
      </c>
      <c r="D45" s="64">
        <f>D40+D41-D42-D43-D44</f>
        <v>147130</v>
      </c>
      <c r="E45" s="47">
        <f>E40+E41-E42-E43-E44</f>
        <v>87485</v>
      </c>
      <c r="F45" s="64">
        <f>F40+F41-F42-F43-F44</f>
        <v>324039</v>
      </c>
      <c r="G45" s="64">
        <f>G40+G41-G42-G43-G44</f>
        <v>106500</v>
      </c>
      <c r="H45" s="64">
        <f>H40+H41-H42-H43-H44</f>
        <v>0</v>
      </c>
      <c r="I45" s="47">
        <f>I40+I41-I42-I43-I44</f>
        <v>57184</v>
      </c>
      <c r="J45" s="47">
        <f>J40+J41-J42-J43-J44</f>
        <v>0</v>
      </c>
      <c r="K45" s="48">
        <f>K40+K41-K42-K43-K44</f>
        <v>7077</v>
      </c>
      <c r="L45" s="48">
        <f>L40+L41-L42-L43-L44</f>
        <v>4</v>
      </c>
      <c r="M45" s="56">
        <f>SUM(B45:L45)</f>
        <v>1970431</v>
      </c>
    </row>
    <row r="46" spans="1:14" ht="15.75" thickTop="1" x14ac:dyDescent="0.25">
      <c r="A46" s="145" t="s">
        <v>121</v>
      </c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99"/>
    </row>
    <row r="47" spans="1:14" x14ac:dyDescent="0.25">
      <c r="A47" s="165" t="s">
        <v>13</v>
      </c>
      <c r="B47" s="165"/>
      <c r="C47" s="166" t="s">
        <v>42</v>
      </c>
      <c r="D47" s="166"/>
      <c r="E47" s="166"/>
      <c r="F47" s="165" t="s">
        <v>7</v>
      </c>
      <c r="G47" s="165"/>
      <c r="H47" s="165"/>
      <c r="I47" s="165" t="s">
        <v>10</v>
      </c>
      <c r="J47" s="165"/>
      <c r="K47" s="165"/>
      <c r="L47" s="165" t="s">
        <v>37</v>
      </c>
      <c r="M47" s="165"/>
    </row>
    <row r="48" spans="1:14" x14ac:dyDescent="0.25">
      <c r="A48" s="161">
        <v>0</v>
      </c>
      <c r="B48" s="161"/>
      <c r="C48" s="162">
        <v>0</v>
      </c>
      <c r="D48" s="163"/>
      <c r="E48" s="164"/>
      <c r="F48" s="161">
        <v>0</v>
      </c>
      <c r="G48" s="161"/>
      <c r="H48" s="161"/>
      <c r="I48" s="161">
        <v>0</v>
      </c>
      <c r="J48" s="161"/>
      <c r="K48" s="161"/>
      <c r="L48" s="161">
        <f>A48+C48+F48+I48</f>
        <v>0</v>
      </c>
      <c r="M48" s="161"/>
    </row>
    <row r="49" spans="1:13" x14ac:dyDescent="0.25">
      <c r="A49" s="145" t="s">
        <v>60</v>
      </c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7"/>
    </row>
    <row r="50" spans="1:13" x14ac:dyDescent="0.25">
      <c r="A50" s="148" t="s">
        <v>34</v>
      </c>
      <c r="B50" s="150" t="s">
        <v>35</v>
      </c>
      <c r="C50" s="151"/>
      <c r="D50" s="152"/>
      <c r="E50" s="156"/>
      <c r="F50" s="157"/>
      <c r="G50" s="157"/>
      <c r="H50" s="157"/>
      <c r="I50" s="157"/>
      <c r="J50" s="157"/>
      <c r="K50" s="157"/>
      <c r="L50" s="157"/>
      <c r="M50" s="158"/>
    </row>
    <row r="51" spans="1:13" x14ac:dyDescent="0.25">
      <c r="A51" s="149"/>
      <c r="B51" s="153"/>
      <c r="C51" s="154"/>
      <c r="D51" s="155"/>
      <c r="E51" s="26">
        <v>50</v>
      </c>
      <c r="F51" s="26">
        <v>30</v>
      </c>
      <c r="G51" s="26">
        <v>10</v>
      </c>
      <c r="H51" s="26">
        <v>34</v>
      </c>
      <c r="I51" s="26">
        <v>26</v>
      </c>
      <c r="J51" s="26">
        <v>1</v>
      </c>
      <c r="K51" s="26">
        <v>500</v>
      </c>
      <c r="L51" s="159" t="s">
        <v>37</v>
      </c>
      <c r="M51" s="160"/>
    </row>
    <row r="52" spans="1:13" x14ac:dyDescent="0.25">
      <c r="A52" s="27">
        <v>1</v>
      </c>
      <c r="B52" s="142" t="s">
        <v>38</v>
      </c>
      <c r="C52" s="143"/>
      <c r="D52" s="144"/>
      <c r="E52" s="27">
        <v>4684</v>
      </c>
      <c r="F52" s="27"/>
      <c r="G52" s="27"/>
      <c r="H52" s="27"/>
      <c r="I52" s="27"/>
      <c r="J52" s="27"/>
      <c r="K52" s="27"/>
      <c r="L52" s="132">
        <f>SUM(E52:K52)</f>
        <v>4684</v>
      </c>
      <c r="M52" s="134"/>
    </row>
    <row r="53" spans="1:13" x14ac:dyDescent="0.25">
      <c r="A53" s="27">
        <v>2</v>
      </c>
      <c r="B53" s="142" t="s">
        <v>39</v>
      </c>
      <c r="C53" s="143"/>
      <c r="D53" s="144"/>
      <c r="E53" s="27">
        <v>12490</v>
      </c>
      <c r="F53" s="27">
        <v>3189</v>
      </c>
      <c r="G53" s="27">
        <v>3189</v>
      </c>
      <c r="H53" s="27"/>
      <c r="I53" s="27"/>
      <c r="J53" s="27"/>
      <c r="K53" s="27"/>
      <c r="L53" s="132">
        <f>SUM(E53:K53)</f>
        <v>18868</v>
      </c>
      <c r="M53" s="134"/>
    </row>
    <row r="54" spans="1:13" x14ac:dyDescent="0.25">
      <c r="A54" s="27">
        <v>3</v>
      </c>
      <c r="B54" s="142" t="s">
        <v>40</v>
      </c>
      <c r="C54" s="143"/>
      <c r="D54" s="144"/>
      <c r="E54" s="27">
        <v>3695</v>
      </c>
      <c r="F54" s="27">
        <v>4044</v>
      </c>
      <c r="G54" s="27"/>
      <c r="H54" s="27"/>
      <c r="I54" s="27"/>
      <c r="J54" s="27"/>
      <c r="K54" s="27"/>
      <c r="L54" s="132">
        <f>SUM(E54:K54)</f>
        <v>7739</v>
      </c>
      <c r="M54" s="134"/>
    </row>
    <row r="55" spans="1:13" x14ac:dyDescent="0.25">
      <c r="A55" s="27">
        <v>4</v>
      </c>
      <c r="B55" s="142" t="s">
        <v>41</v>
      </c>
      <c r="C55" s="143"/>
      <c r="D55" s="144"/>
      <c r="E55" s="27">
        <v>1765</v>
      </c>
      <c r="F55" s="27"/>
      <c r="G55" s="27"/>
      <c r="H55" s="27"/>
      <c r="I55" s="27"/>
      <c r="J55" s="27"/>
      <c r="K55" s="27"/>
      <c r="L55" s="132">
        <f>SUM(E55:K55)</f>
        <v>1765</v>
      </c>
      <c r="M55" s="134"/>
    </row>
    <row r="56" spans="1:13" x14ac:dyDescent="0.25">
      <c r="A56" s="27">
        <v>5</v>
      </c>
      <c r="B56" s="142" t="s">
        <v>42</v>
      </c>
      <c r="C56" s="143"/>
      <c r="D56" s="144"/>
      <c r="E56" s="27">
        <v>6413</v>
      </c>
      <c r="F56" s="27">
        <v>2458</v>
      </c>
      <c r="G56" s="27">
        <v>1366</v>
      </c>
      <c r="H56" s="27"/>
      <c r="I56" s="27"/>
      <c r="J56" s="27"/>
      <c r="K56" s="27"/>
      <c r="L56" s="132">
        <f>SUM(E56:K56)</f>
        <v>10237</v>
      </c>
      <c r="M56" s="134"/>
    </row>
    <row r="57" spans="1:13" x14ac:dyDescent="0.25">
      <c r="A57" s="27">
        <v>6</v>
      </c>
      <c r="B57" s="142" t="s">
        <v>7</v>
      </c>
      <c r="C57" s="143"/>
      <c r="D57" s="144"/>
      <c r="E57" s="27">
        <v>1491</v>
      </c>
      <c r="F57" s="27">
        <v>1314</v>
      </c>
      <c r="G57" s="27">
        <v>2100</v>
      </c>
      <c r="H57" s="27"/>
      <c r="I57" s="27"/>
      <c r="J57" s="27"/>
      <c r="K57" s="27"/>
      <c r="L57" s="132">
        <f>SUM(E57:K57)</f>
        <v>4905</v>
      </c>
      <c r="M57" s="134"/>
    </row>
    <row r="58" spans="1:13" x14ac:dyDescent="0.25">
      <c r="A58" s="27">
        <v>7</v>
      </c>
      <c r="B58" s="142" t="s">
        <v>43</v>
      </c>
      <c r="C58" s="143"/>
      <c r="D58" s="144"/>
      <c r="E58" s="27">
        <v>737</v>
      </c>
      <c r="F58" s="27">
        <v>2037</v>
      </c>
      <c r="G58" s="27"/>
      <c r="H58" s="27"/>
      <c r="I58" s="27"/>
      <c r="J58" s="27"/>
      <c r="K58" s="27"/>
      <c r="L58" s="132">
        <f>SUM(E58:K58)</f>
        <v>2774</v>
      </c>
      <c r="M58" s="134"/>
    </row>
    <row r="59" spans="1:13" x14ac:dyDescent="0.25">
      <c r="A59" s="27">
        <v>8</v>
      </c>
      <c r="B59" s="142" t="s">
        <v>44</v>
      </c>
      <c r="C59" s="143"/>
      <c r="D59" s="144"/>
      <c r="E59" s="27">
        <v>2299</v>
      </c>
      <c r="F59" s="27"/>
      <c r="G59" s="27"/>
      <c r="H59" s="27"/>
      <c r="I59" s="27"/>
      <c r="J59" s="27"/>
      <c r="K59" s="27"/>
      <c r="L59" s="132">
        <f>SUM(E59:K59)</f>
        <v>2299</v>
      </c>
      <c r="M59" s="134"/>
    </row>
    <row r="60" spans="1:13" x14ac:dyDescent="0.25">
      <c r="A60" s="27">
        <v>9</v>
      </c>
      <c r="B60" s="142" t="s">
        <v>45</v>
      </c>
      <c r="C60" s="143"/>
      <c r="D60" s="144"/>
      <c r="E60" s="28"/>
      <c r="F60" s="27"/>
      <c r="G60" s="27"/>
      <c r="H60" s="27">
        <v>6163</v>
      </c>
      <c r="I60" s="27"/>
      <c r="J60" s="27"/>
      <c r="K60" s="27"/>
      <c r="L60" s="132">
        <f>SUM(E60:K60)</f>
        <v>6163</v>
      </c>
      <c r="M60" s="134"/>
    </row>
    <row r="61" spans="1:13" x14ac:dyDescent="0.25">
      <c r="A61" s="27">
        <v>10</v>
      </c>
      <c r="B61" s="142" t="s">
        <v>106</v>
      </c>
      <c r="C61" s="143"/>
      <c r="D61" s="144"/>
      <c r="E61" s="27">
        <v>0</v>
      </c>
      <c r="F61" s="27"/>
      <c r="G61" s="27"/>
      <c r="H61" s="27"/>
      <c r="I61" s="27"/>
      <c r="J61" s="27"/>
      <c r="K61" s="27"/>
      <c r="L61" s="132">
        <f>SUM(E61:K61)</f>
        <v>0</v>
      </c>
      <c r="M61" s="134"/>
    </row>
    <row r="62" spans="1:13" x14ac:dyDescent="0.25">
      <c r="A62" s="27">
        <v>11</v>
      </c>
      <c r="B62" s="142" t="s">
        <v>107</v>
      </c>
      <c r="C62" s="143"/>
      <c r="D62" s="144"/>
      <c r="E62" s="27">
        <v>0</v>
      </c>
      <c r="F62" s="27"/>
      <c r="G62" s="27"/>
      <c r="H62" s="27"/>
      <c r="I62" s="27"/>
      <c r="J62" s="27"/>
      <c r="K62" s="27"/>
      <c r="L62" s="132">
        <f>SUM(E62:K62)</f>
        <v>0</v>
      </c>
      <c r="M62" s="134"/>
    </row>
    <row r="63" spans="1:13" ht="15.75" thickBot="1" x14ac:dyDescent="0.3">
      <c r="L63" s="201">
        <f>SUM(L52:L52:M61)</f>
        <v>59434</v>
      </c>
      <c r="M63" s="201"/>
    </row>
    <row r="64" spans="1:13" ht="15.75" thickTop="1" x14ac:dyDescent="0.25"/>
    <row r="113" spans="6:6" x14ac:dyDescent="0.25">
      <c r="F113" t="s">
        <v>78</v>
      </c>
    </row>
  </sheetData>
  <mergeCells count="116">
    <mergeCell ref="B52:D52"/>
    <mergeCell ref="L52:M52"/>
    <mergeCell ref="B53:D53"/>
    <mergeCell ref="L53:M53"/>
    <mergeCell ref="B54:D54"/>
    <mergeCell ref="L54:M54"/>
    <mergeCell ref="B60:D60"/>
    <mergeCell ref="L60:M60"/>
    <mergeCell ref="L63:M63"/>
    <mergeCell ref="L55:M55"/>
    <mergeCell ref="B56:D56"/>
    <mergeCell ref="L56:M56"/>
    <mergeCell ref="B57:D57"/>
    <mergeCell ref="L57:M57"/>
    <mergeCell ref="B58:D58"/>
    <mergeCell ref="L58:M58"/>
    <mergeCell ref="B59:D59"/>
    <mergeCell ref="L59:M59"/>
    <mergeCell ref="B55:D55"/>
    <mergeCell ref="L61:M61"/>
    <mergeCell ref="L62:M62"/>
    <mergeCell ref="B61:D61"/>
    <mergeCell ref="B62:D62"/>
    <mergeCell ref="B36:D36"/>
    <mergeCell ref="L36:M36"/>
    <mergeCell ref="A50:A51"/>
    <mergeCell ref="B50:D51"/>
    <mergeCell ref="E50:M50"/>
    <mergeCell ref="L51:M51"/>
    <mergeCell ref="A48:B48"/>
    <mergeCell ref="C48:E48"/>
    <mergeCell ref="F48:H48"/>
    <mergeCell ref="I48:K48"/>
    <mergeCell ref="L48:M48"/>
    <mergeCell ref="A46:M46"/>
    <mergeCell ref="A37:M37"/>
    <mergeCell ref="A2:M2"/>
    <mergeCell ref="A3:C3"/>
    <mergeCell ref="D3:E3"/>
    <mergeCell ref="F3:K3"/>
    <mergeCell ref="L3:M3"/>
    <mergeCell ref="A4:M4"/>
    <mergeCell ref="B11:C11"/>
    <mergeCell ref="E11:F11"/>
    <mergeCell ref="G11:I11"/>
    <mergeCell ref="J11:L11"/>
    <mergeCell ref="I6:L6"/>
    <mergeCell ref="B12:C12"/>
    <mergeCell ref="E12:F12"/>
    <mergeCell ref="G12:I12"/>
    <mergeCell ref="J12:L12"/>
    <mergeCell ref="C6:E6"/>
    <mergeCell ref="F6:G6"/>
    <mergeCell ref="A8:M8"/>
    <mergeCell ref="B10:C10"/>
    <mergeCell ref="E10:F10"/>
    <mergeCell ref="G10:I10"/>
    <mergeCell ref="J10:L10"/>
    <mergeCell ref="B19:C19"/>
    <mergeCell ref="E19:I19"/>
    <mergeCell ref="J19:L19"/>
    <mergeCell ref="A22:M22"/>
    <mergeCell ref="B17:C17"/>
    <mergeCell ref="G17:I17"/>
    <mergeCell ref="J17:L17"/>
    <mergeCell ref="B18:C18"/>
    <mergeCell ref="E18:I18"/>
    <mergeCell ref="J18:L18"/>
    <mergeCell ref="A49:M49"/>
    <mergeCell ref="A47:B47"/>
    <mergeCell ref="C47:E47"/>
    <mergeCell ref="F47:H47"/>
    <mergeCell ref="I47:K47"/>
    <mergeCell ref="L47:M47"/>
    <mergeCell ref="A23:C23"/>
    <mergeCell ref="D23:E23"/>
    <mergeCell ref="F23:G23"/>
    <mergeCell ref="H23:M23"/>
    <mergeCell ref="A24:D24"/>
    <mergeCell ref="E24:M24"/>
    <mergeCell ref="A25:A26"/>
    <mergeCell ref="B13:C13"/>
    <mergeCell ref="G13:I13"/>
    <mergeCell ref="J13:L13"/>
    <mergeCell ref="B14:C14"/>
    <mergeCell ref="G14:I14"/>
    <mergeCell ref="J14:L14"/>
    <mergeCell ref="B15:C15"/>
    <mergeCell ref="G15:I15"/>
    <mergeCell ref="B25:D26"/>
    <mergeCell ref="E25:M25"/>
    <mergeCell ref="L26:M26"/>
    <mergeCell ref="J15:L15"/>
    <mergeCell ref="B16:C16"/>
    <mergeCell ref="G16:I16"/>
    <mergeCell ref="J16:L16"/>
    <mergeCell ref="B21:C21"/>
    <mergeCell ref="B27:D27"/>
    <mergeCell ref="L27:M27"/>
    <mergeCell ref="B20:C20"/>
    <mergeCell ref="B28:D28"/>
    <mergeCell ref="L28:M28"/>
    <mergeCell ref="B29:D29"/>
    <mergeCell ref="L29:M29"/>
    <mergeCell ref="L35:M35"/>
    <mergeCell ref="B35:D35"/>
    <mergeCell ref="B30:D30"/>
    <mergeCell ref="L30:M30"/>
    <mergeCell ref="B31:D31"/>
    <mergeCell ref="L31:M31"/>
    <mergeCell ref="B32:D32"/>
    <mergeCell ref="L32:M32"/>
    <mergeCell ref="B33:D33"/>
    <mergeCell ref="L33:M33"/>
    <mergeCell ref="B34:D34"/>
    <mergeCell ref="L34:M34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tabSelected="1" workbookViewId="0">
      <selection activeCell="J15" sqref="J15:L15"/>
    </sheetView>
  </sheetViews>
  <sheetFormatPr defaultRowHeight="15" x14ac:dyDescent="0.25"/>
  <sheetData>
    <row r="1" spans="1:17" ht="18.75" x14ac:dyDescent="0.3">
      <c r="A1" s="202" t="s">
        <v>100</v>
      </c>
      <c r="B1" s="202"/>
      <c r="C1" s="202"/>
      <c r="D1" s="202"/>
      <c r="E1" s="202"/>
      <c r="I1" s="202" t="s">
        <v>126</v>
      </c>
      <c r="J1" s="202"/>
      <c r="K1" s="202"/>
      <c r="L1" s="202"/>
      <c r="M1" s="202"/>
      <c r="N1" s="202"/>
      <c r="O1" s="202"/>
      <c r="P1" s="202"/>
    </row>
    <row r="2" spans="1:17" x14ac:dyDescent="0.25">
      <c r="A2" s="53" t="s">
        <v>79</v>
      </c>
      <c r="B2" s="203" t="s">
        <v>80</v>
      </c>
      <c r="C2" s="203"/>
      <c r="D2" s="203"/>
      <c r="E2" s="54" t="s">
        <v>98</v>
      </c>
      <c r="I2" s="59" t="s">
        <v>109</v>
      </c>
      <c r="J2" s="203" t="s">
        <v>80</v>
      </c>
      <c r="K2" s="203"/>
      <c r="L2" s="203"/>
      <c r="M2" s="60" t="s">
        <v>101</v>
      </c>
      <c r="N2" s="60" t="s">
        <v>108</v>
      </c>
      <c r="O2" s="94" t="s">
        <v>124</v>
      </c>
      <c r="P2" s="60" t="s">
        <v>102</v>
      </c>
      <c r="Q2" s="60" t="s">
        <v>123</v>
      </c>
    </row>
    <row r="3" spans="1:17" ht="15.75" x14ac:dyDescent="0.25">
      <c r="A3" s="47">
        <v>1</v>
      </c>
      <c r="B3" s="180" t="s">
        <v>81</v>
      </c>
      <c r="C3" s="181" t="s">
        <v>81</v>
      </c>
      <c r="D3" s="182" t="s">
        <v>81</v>
      </c>
      <c r="E3" s="44">
        <v>1955</v>
      </c>
      <c r="I3" s="47">
        <v>1</v>
      </c>
      <c r="J3" s="180" t="s">
        <v>86</v>
      </c>
      <c r="K3" s="181" t="s">
        <v>86</v>
      </c>
      <c r="L3" s="182" t="s">
        <v>86</v>
      </c>
      <c r="M3" s="44">
        <v>3378</v>
      </c>
      <c r="N3" s="44"/>
      <c r="O3" s="44">
        <v>120</v>
      </c>
      <c r="P3" s="44">
        <f>M3+N3-O3+Q3</f>
        <v>3258</v>
      </c>
      <c r="Q3" s="62"/>
    </row>
    <row r="4" spans="1:17" ht="15.75" x14ac:dyDescent="0.25">
      <c r="A4" s="47">
        <v>2</v>
      </c>
      <c r="B4" s="180" t="s">
        <v>82</v>
      </c>
      <c r="C4" s="181" t="s">
        <v>82</v>
      </c>
      <c r="D4" s="182" t="s">
        <v>82</v>
      </c>
      <c r="E4" s="44">
        <v>994</v>
      </c>
      <c r="I4" s="47">
        <v>2</v>
      </c>
      <c r="J4" s="180" t="s">
        <v>93</v>
      </c>
      <c r="K4" s="181" t="s">
        <v>93</v>
      </c>
      <c r="L4" s="182" t="s">
        <v>93</v>
      </c>
      <c r="M4" s="44">
        <v>236</v>
      </c>
      <c r="N4" s="44"/>
      <c r="O4" s="44"/>
      <c r="P4" s="44">
        <f>M4+N4-O4+Q4</f>
        <v>236</v>
      </c>
      <c r="Q4" s="44"/>
    </row>
    <row r="5" spans="1:17" ht="15.75" x14ac:dyDescent="0.25">
      <c r="A5" s="47">
        <v>3</v>
      </c>
      <c r="B5" s="180" t="s">
        <v>83</v>
      </c>
      <c r="C5" s="181" t="s">
        <v>83</v>
      </c>
      <c r="D5" s="182" t="s">
        <v>83</v>
      </c>
      <c r="E5" s="44">
        <v>2051</v>
      </c>
      <c r="I5" s="47">
        <v>3</v>
      </c>
      <c r="J5" s="180" t="s">
        <v>96</v>
      </c>
      <c r="K5" s="181" t="s">
        <v>96</v>
      </c>
      <c r="L5" s="182" t="s">
        <v>96</v>
      </c>
      <c r="M5" s="44">
        <v>359</v>
      </c>
      <c r="N5" s="44"/>
      <c r="O5" s="93">
        <v>100</v>
      </c>
      <c r="P5" s="44">
        <f>M5+N5-O5+Q5</f>
        <v>259</v>
      </c>
      <c r="Q5" s="44"/>
    </row>
    <row r="6" spans="1:17" ht="15.75" x14ac:dyDescent="0.25">
      <c r="A6" s="47">
        <v>4</v>
      </c>
      <c r="B6" s="180" t="s">
        <v>84</v>
      </c>
      <c r="C6" s="181" t="s">
        <v>84</v>
      </c>
      <c r="D6" s="182" t="s">
        <v>84</v>
      </c>
      <c r="E6" s="44">
        <v>99</v>
      </c>
      <c r="I6" s="47">
        <v>4</v>
      </c>
      <c r="J6" s="180" t="s">
        <v>87</v>
      </c>
      <c r="K6" s="181" t="s">
        <v>87</v>
      </c>
      <c r="L6" s="182" t="s">
        <v>87</v>
      </c>
      <c r="M6" s="44">
        <v>3548</v>
      </c>
      <c r="N6" s="44"/>
      <c r="O6" s="44"/>
      <c r="P6" s="44">
        <f>M6+N6-O6+Q6</f>
        <v>3548</v>
      </c>
      <c r="Q6" s="44"/>
    </row>
    <row r="7" spans="1:17" ht="15.75" x14ac:dyDescent="0.25">
      <c r="A7" s="47">
        <v>5</v>
      </c>
      <c r="B7" s="180" t="s">
        <v>85</v>
      </c>
      <c r="C7" s="181" t="s">
        <v>85</v>
      </c>
      <c r="D7" s="182" t="s">
        <v>85</v>
      </c>
      <c r="E7" s="44">
        <v>2409</v>
      </c>
      <c r="I7" s="47">
        <v>5</v>
      </c>
      <c r="J7" s="180" t="s">
        <v>94</v>
      </c>
      <c r="K7" s="181" t="s">
        <v>94</v>
      </c>
      <c r="L7" s="182" t="s">
        <v>94</v>
      </c>
      <c r="M7" s="44">
        <v>1778</v>
      </c>
      <c r="N7" s="44"/>
      <c r="O7" s="44">
        <v>20</v>
      </c>
      <c r="P7" s="44">
        <f>M7+N7-O7+Q7</f>
        <v>1758</v>
      </c>
      <c r="Q7" s="44"/>
    </row>
    <row r="8" spans="1:17" ht="15.75" x14ac:dyDescent="0.25">
      <c r="A8" s="47">
        <v>6</v>
      </c>
      <c r="B8" s="180" t="s">
        <v>86</v>
      </c>
      <c r="C8" s="181" t="s">
        <v>86</v>
      </c>
      <c r="D8" s="182" t="s">
        <v>86</v>
      </c>
      <c r="E8" s="44">
        <v>3238</v>
      </c>
      <c r="I8" s="47">
        <v>6</v>
      </c>
      <c r="J8" s="180" t="s">
        <v>95</v>
      </c>
      <c r="K8" s="181" t="s">
        <v>95</v>
      </c>
      <c r="L8" s="182" t="s">
        <v>95</v>
      </c>
      <c r="M8" s="44">
        <v>820</v>
      </c>
      <c r="N8" s="44"/>
      <c r="O8" s="44"/>
      <c r="P8" s="44">
        <f>M8+N8-O8+Q8</f>
        <v>820</v>
      </c>
      <c r="Q8" s="44"/>
    </row>
    <row r="9" spans="1:17" ht="15.75" x14ac:dyDescent="0.25">
      <c r="A9" s="47">
        <v>7</v>
      </c>
      <c r="B9" s="180" t="s">
        <v>87</v>
      </c>
      <c r="C9" s="181" t="s">
        <v>87</v>
      </c>
      <c r="D9" s="182" t="s">
        <v>87</v>
      </c>
      <c r="E9" s="44">
        <v>3514</v>
      </c>
      <c r="I9" s="47">
        <v>7</v>
      </c>
      <c r="J9" s="180" t="s">
        <v>84</v>
      </c>
      <c r="K9" s="181" t="s">
        <v>84</v>
      </c>
      <c r="L9" s="182" t="s">
        <v>84</v>
      </c>
      <c r="M9" s="44">
        <v>429</v>
      </c>
      <c r="N9" s="44"/>
      <c r="O9" s="44">
        <v>300</v>
      </c>
      <c r="P9" s="44">
        <f>M9+N9-O9+Q9</f>
        <v>129</v>
      </c>
      <c r="Q9" s="62"/>
    </row>
    <row r="10" spans="1:17" ht="15.75" x14ac:dyDescent="0.25">
      <c r="A10" s="47">
        <v>8</v>
      </c>
      <c r="B10" s="180" t="s">
        <v>88</v>
      </c>
      <c r="C10" s="181" t="s">
        <v>88</v>
      </c>
      <c r="D10" s="182" t="s">
        <v>88</v>
      </c>
      <c r="E10" s="44">
        <v>1554</v>
      </c>
      <c r="I10" s="47">
        <v>8</v>
      </c>
      <c r="J10" s="180" t="s">
        <v>91</v>
      </c>
      <c r="K10" s="181" t="s">
        <v>91</v>
      </c>
      <c r="L10" s="182" t="s">
        <v>91</v>
      </c>
      <c r="M10" s="44">
        <v>167</v>
      </c>
      <c r="N10" s="44"/>
      <c r="O10" s="44">
        <v>60</v>
      </c>
      <c r="P10" s="44">
        <f>M10+N10-O10+Q10</f>
        <v>107</v>
      </c>
      <c r="Q10" s="44"/>
    </row>
    <row r="11" spans="1:17" ht="15.75" x14ac:dyDescent="0.25">
      <c r="A11" s="47">
        <v>9</v>
      </c>
      <c r="B11" s="180" t="s">
        <v>89</v>
      </c>
      <c r="C11" s="181" t="s">
        <v>89</v>
      </c>
      <c r="D11" s="182" t="s">
        <v>89</v>
      </c>
      <c r="E11" s="44">
        <v>2022</v>
      </c>
      <c r="I11" s="47">
        <v>9</v>
      </c>
      <c r="J11" s="180" t="s">
        <v>85</v>
      </c>
      <c r="K11" s="181" t="s">
        <v>85</v>
      </c>
      <c r="L11" s="182" t="s">
        <v>85</v>
      </c>
      <c r="M11" s="44">
        <v>2429</v>
      </c>
      <c r="N11" s="44"/>
      <c r="O11" s="44"/>
      <c r="P11" s="44">
        <f>M11+N11-O11+Q11</f>
        <v>2429</v>
      </c>
      <c r="Q11" s="44"/>
    </row>
    <row r="12" spans="1:17" ht="15.75" x14ac:dyDescent="0.25">
      <c r="A12" s="47">
        <v>10</v>
      </c>
      <c r="B12" s="180" t="s">
        <v>90</v>
      </c>
      <c r="C12" s="181" t="s">
        <v>90</v>
      </c>
      <c r="D12" s="182" t="s">
        <v>90</v>
      </c>
      <c r="E12" s="44">
        <v>823</v>
      </c>
      <c r="I12" s="47">
        <v>10</v>
      </c>
      <c r="J12" s="180" t="s">
        <v>92</v>
      </c>
      <c r="K12" s="181" t="s">
        <v>92</v>
      </c>
      <c r="L12" s="182" t="s">
        <v>92</v>
      </c>
      <c r="M12" s="44">
        <v>1100</v>
      </c>
      <c r="N12" s="44"/>
      <c r="O12" s="44">
        <v>80</v>
      </c>
      <c r="P12" s="44">
        <f>M12+N12-O12+Q12</f>
        <v>1020</v>
      </c>
      <c r="Q12" s="44"/>
    </row>
    <row r="13" spans="1:17" ht="15.75" x14ac:dyDescent="0.25">
      <c r="A13" s="47">
        <v>11</v>
      </c>
      <c r="B13" s="180" t="s">
        <v>91</v>
      </c>
      <c r="C13" s="181" t="s">
        <v>91</v>
      </c>
      <c r="D13" s="182" t="s">
        <v>91</v>
      </c>
      <c r="E13" s="44">
        <v>103</v>
      </c>
      <c r="I13" s="47">
        <v>11</v>
      </c>
      <c r="J13" s="180" t="s">
        <v>97</v>
      </c>
      <c r="K13" s="181" t="s">
        <v>97</v>
      </c>
      <c r="L13" s="182" t="s">
        <v>97</v>
      </c>
      <c r="M13" s="44">
        <v>178</v>
      </c>
      <c r="N13" s="44"/>
      <c r="O13" s="44"/>
      <c r="P13" s="44">
        <f>M13+N13-O13+Q13</f>
        <v>178</v>
      </c>
      <c r="Q13" s="44"/>
    </row>
    <row r="14" spans="1:17" ht="15.75" x14ac:dyDescent="0.25">
      <c r="A14" s="47">
        <v>12</v>
      </c>
      <c r="B14" s="180" t="s">
        <v>92</v>
      </c>
      <c r="C14" s="181" t="s">
        <v>92</v>
      </c>
      <c r="D14" s="182" t="s">
        <v>92</v>
      </c>
      <c r="E14" s="44">
        <v>1012</v>
      </c>
      <c r="I14" s="47">
        <v>12</v>
      </c>
      <c r="J14" s="180" t="s">
        <v>82</v>
      </c>
      <c r="K14" s="181" t="s">
        <v>82</v>
      </c>
      <c r="L14" s="182" t="s">
        <v>82</v>
      </c>
      <c r="M14" s="44">
        <v>1144</v>
      </c>
      <c r="N14" s="44"/>
      <c r="O14" s="44">
        <v>100</v>
      </c>
      <c r="P14" s="44">
        <f>M14+N14-O14+Q14</f>
        <v>1044</v>
      </c>
      <c r="Q14" s="44"/>
    </row>
    <row r="15" spans="1:17" ht="15.75" x14ac:dyDescent="0.25">
      <c r="A15" s="47">
        <v>13</v>
      </c>
      <c r="B15" s="180" t="s">
        <v>93</v>
      </c>
      <c r="C15" s="181" t="s">
        <v>93</v>
      </c>
      <c r="D15" s="182" t="s">
        <v>93</v>
      </c>
      <c r="E15" s="44">
        <v>220</v>
      </c>
      <c r="I15" s="47">
        <v>13</v>
      </c>
      <c r="J15" s="180" t="s">
        <v>81</v>
      </c>
      <c r="K15" s="181" t="s">
        <v>81</v>
      </c>
      <c r="L15" s="182" t="s">
        <v>81</v>
      </c>
      <c r="M15" s="44">
        <v>1995</v>
      </c>
      <c r="N15" s="44"/>
      <c r="O15" s="44"/>
      <c r="P15" s="44">
        <f>M15+N15-O15+Q15</f>
        <v>1995</v>
      </c>
      <c r="Q15" s="44"/>
    </row>
    <row r="16" spans="1:17" ht="15.75" x14ac:dyDescent="0.25">
      <c r="A16" s="47">
        <v>14</v>
      </c>
      <c r="B16" s="180" t="s">
        <v>94</v>
      </c>
      <c r="C16" s="181" t="s">
        <v>94</v>
      </c>
      <c r="D16" s="182" t="s">
        <v>94</v>
      </c>
      <c r="E16" s="44">
        <v>1742</v>
      </c>
      <c r="I16" s="47">
        <v>14</v>
      </c>
      <c r="J16" s="180" t="s">
        <v>83</v>
      </c>
      <c r="K16" s="181" t="s">
        <v>83</v>
      </c>
      <c r="L16" s="182" t="s">
        <v>83</v>
      </c>
      <c r="M16" s="44">
        <v>2181</v>
      </c>
      <c r="N16" s="44"/>
      <c r="O16" s="44">
        <v>100</v>
      </c>
      <c r="P16" s="44">
        <f>M16+N16-O16+Q16</f>
        <v>2081</v>
      </c>
      <c r="Q16" s="62"/>
    </row>
    <row r="17" spans="1:17" ht="15.75" x14ac:dyDescent="0.25">
      <c r="A17" s="47">
        <v>15</v>
      </c>
      <c r="B17" s="180" t="s">
        <v>95</v>
      </c>
      <c r="C17" s="181" t="s">
        <v>95</v>
      </c>
      <c r="D17" s="182" t="s">
        <v>95</v>
      </c>
      <c r="E17" s="44">
        <v>820</v>
      </c>
      <c r="I17" s="47">
        <v>15</v>
      </c>
      <c r="J17" s="180" t="s">
        <v>88</v>
      </c>
      <c r="K17" s="181" t="s">
        <v>88</v>
      </c>
      <c r="L17" s="182" t="s">
        <v>88</v>
      </c>
      <c r="M17" s="44">
        <v>1554</v>
      </c>
      <c r="N17" s="44"/>
      <c r="O17" s="44"/>
      <c r="P17" s="44">
        <f>M17+N17-O17+Q17</f>
        <v>1554</v>
      </c>
      <c r="Q17" s="44"/>
    </row>
    <row r="18" spans="1:17" ht="15.75" x14ac:dyDescent="0.25">
      <c r="A18" s="47">
        <v>16</v>
      </c>
      <c r="B18" s="180" t="s">
        <v>96</v>
      </c>
      <c r="C18" s="181" t="s">
        <v>96</v>
      </c>
      <c r="D18" s="182" t="s">
        <v>96</v>
      </c>
      <c r="E18" s="44">
        <v>249</v>
      </c>
      <c r="I18" s="47">
        <v>16</v>
      </c>
      <c r="J18" s="180" t="s">
        <v>90</v>
      </c>
      <c r="K18" s="181" t="s">
        <v>90</v>
      </c>
      <c r="L18" s="182" t="s">
        <v>90</v>
      </c>
      <c r="M18" s="44">
        <v>843</v>
      </c>
      <c r="N18" s="44"/>
      <c r="O18" s="44"/>
      <c r="P18" s="44">
        <f>M18+N18-O18+Q18</f>
        <v>843</v>
      </c>
      <c r="Q18" s="44"/>
    </row>
    <row r="19" spans="1:17" ht="15.75" x14ac:dyDescent="0.25">
      <c r="A19" s="47">
        <v>17</v>
      </c>
      <c r="B19" s="180" t="s">
        <v>97</v>
      </c>
      <c r="C19" s="181" t="s">
        <v>97</v>
      </c>
      <c r="D19" s="182" t="s">
        <v>97</v>
      </c>
      <c r="E19" s="44">
        <v>178</v>
      </c>
      <c r="I19" s="47">
        <v>17</v>
      </c>
      <c r="J19" s="180" t="s">
        <v>89</v>
      </c>
      <c r="K19" s="181" t="s">
        <v>89</v>
      </c>
      <c r="L19" s="182" t="s">
        <v>89</v>
      </c>
      <c r="M19" s="44">
        <v>2022</v>
      </c>
      <c r="N19" s="44"/>
      <c r="O19" s="44"/>
      <c r="P19" s="44">
        <f>M19+N19-O19+Q19</f>
        <v>2022</v>
      </c>
      <c r="Q19" s="44"/>
    </row>
    <row r="20" spans="1:17" ht="15.75" x14ac:dyDescent="0.25">
      <c r="A20" s="47">
        <v>18</v>
      </c>
      <c r="B20" s="180" t="s">
        <v>99</v>
      </c>
      <c r="C20" s="181"/>
      <c r="D20" s="182"/>
      <c r="E20" s="44">
        <v>180</v>
      </c>
      <c r="I20" s="47">
        <v>18</v>
      </c>
      <c r="J20" s="180" t="s">
        <v>99</v>
      </c>
      <c r="K20" s="181"/>
      <c r="L20" s="182"/>
      <c r="M20" s="44">
        <v>180</v>
      </c>
      <c r="N20" s="44"/>
      <c r="O20" s="44"/>
      <c r="P20" s="44">
        <f>M20+N20-O20+Q20</f>
        <v>180</v>
      </c>
      <c r="Q20" s="44"/>
    </row>
    <row r="21" spans="1:17" ht="16.5" thickBot="1" x14ac:dyDescent="0.3">
      <c r="C21" s="55"/>
      <c r="E21" s="57">
        <f>SUM(E3:E20)</f>
        <v>23163</v>
      </c>
      <c r="P21" s="61">
        <f>SUM(P3:P20)</f>
        <v>23461</v>
      </c>
    </row>
    <row r="22" spans="1:17" ht="15.75" thickTop="1" x14ac:dyDescent="0.25"/>
  </sheetData>
  <mergeCells count="40">
    <mergeCell ref="B20:D20"/>
    <mergeCell ref="B17:D17"/>
    <mergeCell ref="B18:D18"/>
    <mergeCell ref="B19:D19"/>
    <mergeCell ref="B2:D2"/>
    <mergeCell ref="B3:D3"/>
    <mergeCell ref="B4:D4"/>
    <mergeCell ref="B5:D5"/>
    <mergeCell ref="B6:D6"/>
    <mergeCell ref="B7:D7"/>
    <mergeCell ref="B8:D8"/>
    <mergeCell ref="A1:E1"/>
    <mergeCell ref="B12:D12"/>
    <mergeCell ref="B13:D13"/>
    <mergeCell ref="B14:D14"/>
    <mergeCell ref="B15:D15"/>
    <mergeCell ref="B16:D16"/>
    <mergeCell ref="B9:D9"/>
    <mergeCell ref="B10:D10"/>
    <mergeCell ref="B11:D11"/>
    <mergeCell ref="J19:L19"/>
    <mergeCell ref="J2:L2"/>
    <mergeCell ref="J3:L3"/>
    <mergeCell ref="J4:L4"/>
    <mergeCell ref="J5:L5"/>
    <mergeCell ref="J6:L6"/>
    <mergeCell ref="J7:L7"/>
    <mergeCell ref="J8:L8"/>
    <mergeCell ref="J9:L9"/>
    <mergeCell ref="J10:L10"/>
    <mergeCell ref="J20:L20"/>
    <mergeCell ref="I1:P1"/>
    <mergeCell ref="J11:L11"/>
    <mergeCell ref="J12:L12"/>
    <mergeCell ref="J13:L13"/>
    <mergeCell ref="J14:L14"/>
    <mergeCell ref="J15:L15"/>
    <mergeCell ref="J16:L16"/>
    <mergeCell ref="J17:L17"/>
    <mergeCell ref="J18:L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14.07.22</vt:lpstr>
      <vt:lpstr>15.07.2022</vt:lpstr>
      <vt:lpstr>19.07.22</vt:lpstr>
      <vt:lpstr>AGRO</vt:lpstr>
      <vt:lpstr>SPICES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2022-06-17T13:56:55Z</dcterms:created>
  <dcterms:modified xsi:type="dcterms:W3CDTF">2023-09-29T10:26:05Z</dcterms:modified>
</cp:coreProperties>
</file>