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G DRIVE DATAS\ERP SAP\"/>
    </mc:Choice>
  </mc:AlternateContent>
  <bookViews>
    <workbookView xWindow="0" yWindow="0" windowWidth="20490" windowHeight="7755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<sst xmlns="http://schemas.openxmlformats.org/spreadsheetml/2006/main" count="61" uniqueCount="59">
  <si>
    <t>MOTHERS AGRO FOODS PVT LTD</t>
  </si>
  <si>
    <r>
      <t xml:space="preserve">AC/NO: </t>
    </r>
    <r>
      <rPr>
        <b/>
        <sz val="13"/>
        <color indexed="8"/>
        <rFont val="Arial"/>
        <family val="1"/>
        <charset val="1"/>
      </rPr>
      <t xml:space="preserve">50200064447690 </t>
    </r>
  </si>
  <si>
    <t>SL. NO.</t>
  </si>
  <si>
    <t>NAME</t>
  </si>
  <si>
    <t>BANK NAME</t>
  </si>
  <si>
    <t>BRANCH NAME</t>
  </si>
  <si>
    <t>ACCOUNT NO.</t>
  </si>
  <si>
    <t>IFSC CODE</t>
  </si>
  <si>
    <t>AMOUNT</t>
  </si>
  <si>
    <t>ch#</t>
  </si>
  <si>
    <t>Hotel Rukmini</t>
  </si>
  <si>
    <t>PUNJAB NATIONAL BANK</t>
  </si>
  <si>
    <t>4254002100003634</t>
  </si>
  <si>
    <t>PUNB0425400</t>
  </si>
  <si>
    <t>INV.FB-653/1</t>
  </si>
  <si>
    <t>001033</t>
  </si>
  <si>
    <t>Vibrant power services</t>
  </si>
  <si>
    <t>Union bank of india</t>
  </si>
  <si>
    <t>UBIN0533807</t>
  </si>
  <si>
    <t>agnst inv.BB-EGS0142</t>
  </si>
  <si>
    <t>Vinayak Milling Parts</t>
  </si>
  <si>
    <t>Kotak Mahindra Bank</t>
  </si>
  <si>
    <t>9146234379</t>
  </si>
  <si>
    <t>KKBK0000204</t>
  </si>
  <si>
    <t>INV-000779</t>
  </si>
  <si>
    <t>TOTAL</t>
  </si>
  <si>
    <t>Divisional manager FCI DO kochi</t>
  </si>
  <si>
    <t>state bank of india</t>
  </si>
  <si>
    <t>SBIN0003539</t>
  </si>
  <si>
    <t xml:space="preserve">Weighment charge of Fci </t>
  </si>
  <si>
    <t>001032</t>
  </si>
  <si>
    <t>Shree Ghanshyam Krupa Trading Co.</t>
  </si>
  <si>
    <t>HDFC</t>
  </si>
  <si>
    <t>16918370000028</t>
  </si>
  <si>
    <t>HDFC0001691</t>
  </si>
  <si>
    <t>INV.2023-195</t>
  </si>
  <si>
    <t>001024</t>
  </si>
  <si>
    <t>MOHERS FOOD PRODUCTS</t>
  </si>
  <si>
    <t>PEST TRACK MANAGEMENT SERVICES PVT LTD</t>
  </si>
  <si>
    <t>ICICI BANK</t>
  </si>
  <si>
    <t>268505500135</t>
  </si>
  <si>
    <t>ICIC0002685</t>
  </si>
  <si>
    <t>6966+2.36</t>
  </si>
  <si>
    <t>INV.2140</t>
  </si>
  <si>
    <t>920091</t>
  </si>
  <si>
    <t>Luciya Industries</t>
  </si>
  <si>
    <t>City Union Bank</t>
  </si>
  <si>
    <t>CIUB0000429</t>
  </si>
  <si>
    <t>18734+4.72</t>
  </si>
  <si>
    <t>agnst inv.257&amp;333</t>
  </si>
  <si>
    <t>MAS Foods &amp; Spices</t>
  </si>
  <si>
    <t>Auraspace Traders PVT LTD</t>
  </si>
  <si>
    <t>ICICI</t>
  </si>
  <si>
    <t>265205000652</t>
  </si>
  <si>
    <t>ICIC0002652</t>
  </si>
  <si>
    <t>agnst estimate -EST-000249</t>
  </si>
  <si>
    <t>311777</t>
  </si>
  <si>
    <t>Summarised payment report of Mothers group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</si>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</sst>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b/>
      <sz val="13"/>
      <color indexed="8"/>
      <name val="Arial"/>
      <family val="1"/>
      <charset val="1"/>
    </font>
    <font>
      <b/>
      <sz val="11"/>
      <color indexed="8"/>
      <name val="Calibri"/>
      <family val="2"/>
      <charset val="1"/>
    </font>
    <font>
      <b/>
      <sz val="8"/>
      <color indexed="8"/>
      <name val="Calibri"/>
      <family val="2"/>
      <charset val="1"/>
    </font>
    <font>
      <sz val="11"/>
      <color indexed="8"/>
      <name val="Calibri"/>
      <family val="2"/>
    </font>
    <font>
      <sz val="12"/>
      <name val="Calibri"/>
      <family val="2"/>
      <charset val="1"/>
    </font>
    <font>
      <sz val="12"/>
      <color indexed="8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indexed="8"/>
      <name val="Calibri"/>
      <family val="2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74">
    <xf numFmtId="0" fontId="0" fillId="0" borderId="0" xfId="0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/>
    <xf numFmtId="0" fontId="6" fillId="0" borderId="4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6" fillId="0" borderId="4" xfId="1" applyFont="1" applyBorder="1" applyAlignment="1">
      <alignment horizontal="left" wrapText="1"/>
    </xf>
    <xf numFmtId="0" fontId="7" fillId="0" borderId="4" xfId="1" applyFont="1" applyBorder="1" applyAlignment="1">
      <alignment horizontal="center" wrapText="1"/>
    </xf>
    <xf numFmtId="0" fontId="0" fillId="0" borderId="4" xfId="0" applyBorder="1" applyAlignment="1">
      <alignment horizontal="right" wrapText="1"/>
    </xf>
    <xf numFmtId="0" fontId="8" fillId="0" borderId="4" xfId="1" applyFont="1" applyBorder="1" applyAlignment="1">
      <alignment horizontal="center" wrapText="1"/>
    </xf>
    <xf numFmtId="14" fontId="0" fillId="2" borderId="4" xfId="0" applyNumberFormat="1" applyFill="1" applyBorder="1" applyAlignment="1">
      <alignment horizontal="center" wrapText="1"/>
    </xf>
    <xf numFmtId="0" fontId="9" fillId="0" borderId="4" xfId="1" applyFont="1" applyFill="1" applyBorder="1" applyAlignment="1">
      <alignment vertical="center" wrapText="1"/>
    </xf>
    <xf numFmtId="0" fontId="10" fillId="0" borderId="4" xfId="1" applyFont="1" applyFill="1" applyBorder="1" applyAlignment="1">
      <alignment vertical="center"/>
    </xf>
    <xf numFmtId="0" fontId="9" fillId="0" borderId="4" xfId="1" applyFont="1" applyBorder="1" applyAlignment="1">
      <alignment vertical="center"/>
    </xf>
    <xf numFmtId="49" fontId="10" fillId="0" borderId="4" xfId="1" applyNumberFormat="1" applyFont="1" applyFill="1" applyBorder="1" applyAlignment="1">
      <alignment horizontal="right" vertical="center"/>
    </xf>
    <xf numFmtId="0" fontId="9" fillId="3" borderId="4" xfId="1" applyFont="1" applyFill="1" applyBorder="1" applyAlignment="1">
      <alignment vertical="center"/>
    </xf>
    <xf numFmtId="2" fontId="8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49" fontId="6" fillId="0" borderId="3" xfId="1" applyNumberFormat="1" applyFont="1" applyBorder="1" applyAlignment="1">
      <alignment horizontal="center"/>
    </xf>
    <xf numFmtId="0" fontId="0" fillId="0" borderId="0" xfId="0" applyBorder="1"/>
    <xf numFmtId="0" fontId="9" fillId="0" borderId="4" xfId="1" applyFont="1" applyBorder="1"/>
    <xf numFmtId="164" fontId="0" fillId="2" borderId="4" xfId="0" applyNumberFormat="1" applyFill="1" applyBorder="1" applyAlignment="1">
      <alignment horizontal="left"/>
    </xf>
    <xf numFmtId="0" fontId="0" fillId="2" borderId="4" xfId="0" applyFill="1" applyBorder="1"/>
    <xf numFmtId="164" fontId="11" fillId="2" borderId="4" xfId="0" applyNumberFormat="1" applyFont="1" applyFill="1" applyBorder="1" applyAlignment="1">
      <alignment horizontal="right"/>
    </xf>
    <xf numFmtId="0" fontId="0" fillId="2" borderId="4" xfId="0" applyFill="1" applyBorder="1" applyAlignment="1">
      <alignment horizontal="left"/>
    </xf>
    <xf numFmtId="2" fontId="0" fillId="0" borderId="4" xfId="0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 wrapText="1"/>
    </xf>
    <xf numFmtId="0" fontId="9" fillId="0" borderId="4" xfId="1" applyFont="1" applyBorder="1" applyAlignment="1">
      <alignment wrapText="1"/>
    </xf>
    <xf numFmtId="0" fontId="10" fillId="0" borderId="4" xfId="1" applyFont="1" applyBorder="1"/>
    <xf numFmtId="0" fontId="10" fillId="3" borderId="4" xfId="1" applyFont="1" applyFill="1" applyBorder="1"/>
    <xf numFmtId="49" fontId="10" fillId="0" borderId="4" xfId="2" applyNumberFormat="1" applyFont="1" applyBorder="1" applyAlignment="1">
      <alignment horizontal="right"/>
    </xf>
    <xf numFmtId="0" fontId="0" fillId="0" borderId="6" xfId="0" applyFill="1" applyBorder="1" applyAlignment="1">
      <alignment horizontal="left" wrapText="1"/>
    </xf>
    <xf numFmtId="0" fontId="12" fillId="0" borderId="4" xfId="1" applyFont="1" applyFill="1" applyBorder="1"/>
    <xf numFmtId="0" fontId="9" fillId="0" borderId="4" xfId="1" applyFont="1" applyFill="1" applyBorder="1" applyAlignment="1">
      <alignment wrapText="1"/>
    </xf>
    <xf numFmtId="0" fontId="9" fillId="0" borderId="4" xfId="1" applyFont="1" applyFill="1" applyBorder="1"/>
    <xf numFmtId="49" fontId="10" fillId="0" borderId="4" xfId="1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center"/>
    </xf>
    <xf numFmtId="49" fontId="0" fillId="0" borderId="4" xfId="0" applyNumberFormat="1" applyBorder="1"/>
    <xf numFmtId="14" fontId="0" fillId="2" borderId="0" xfId="0" applyNumberFormat="1" applyFill="1" applyBorder="1" applyAlignment="1">
      <alignment horizontal="center" wrapText="1"/>
    </xf>
    <xf numFmtId="0" fontId="9" fillId="0" borderId="0" xfId="1" applyFont="1" applyFill="1" applyBorder="1"/>
    <xf numFmtId="0" fontId="9" fillId="0" borderId="0" xfId="1" applyFont="1" applyFill="1" applyBorder="1" applyAlignment="1">
      <alignment wrapText="1"/>
    </xf>
    <xf numFmtId="49" fontId="10" fillId="0" borderId="0" xfId="1" applyNumberFormat="1" applyFont="1" applyBorder="1" applyAlignment="1">
      <alignment horizontal="right"/>
    </xf>
    <xf numFmtId="2" fontId="0" fillId="0" borderId="0" xfId="0" applyNumberFormat="1" applyBorder="1"/>
    <xf numFmtId="49" fontId="0" fillId="0" borderId="0" xfId="0" applyNumberFormat="1" applyBorder="1"/>
    <xf numFmtId="0" fontId="0" fillId="0" borderId="4" xfId="0" applyFont="1" applyFill="1" applyBorder="1" applyAlignment="1">
      <alignment horizontal="left"/>
    </xf>
    <xf numFmtId="0" fontId="13" fillId="0" borderId="4" xfId="1" applyFont="1" applyFill="1" applyBorder="1"/>
    <xf numFmtId="49" fontId="14" fillId="0" borderId="4" xfId="2" applyNumberFormat="1" applyFont="1" applyFill="1" applyBorder="1" applyAlignment="1">
      <alignment horizontal="right"/>
    </xf>
    <xf numFmtId="0" fontId="14" fillId="0" borderId="4" xfId="1" applyFont="1" applyFill="1" applyBorder="1"/>
    <xf numFmtId="0" fontId="0" fillId="0" borderId="4" xfId="0" applyFont="1" applyFill="1" applyBorder="1"/>
    <xf numFmtId="2" fontId="0" fillId="0" borderId="4" xfId="0" applyNumberFormat="1" applyFill="1" applyBorder="1"/>
    <xf numFmtId="0" fontId="3" fillId="0" borderId="4" xfId="1" applyFont="1" applyFill="1" applyBorder="1" applyAlignment="1">
      <alignment wrapText="1"/>
    </xf>
    <xf numFmtId="49" fontId="0" fillId="0" borderId="4" xfId="0" applyNumberFormat="1" applyBorder="1" applyAlignment="1"/>
    <xf numFmtId="0" fontId="3" fillId="0" borderId="4" xfId="1" applyFont="1" applyFill="1" applyBorder="1"/>
    <xf numFmtId="2" fontId="0" fillId="0" borderId="4" xfId="0" applyNumberFormat="1" applyBorder="1" applyAlignment="1">
      <alignment horizontal="center"/>
    </xf>
    <xf numFmtId="0" fontId="2" fillId="0" borderId="0" xfId="0" applyFont="1" applyBorder="1"/>
    <xf numFmtId="0" fontId="15" fillId="0" borderId="0" xfId="1" applyFont="1" applyFill="1" applyBorder="1"/>
    <xf numFmtId="0" fontId="10" fillId="0" borderId="0" xfId="1" applyFont="1" applyFill="1" applyBorder="1"/>
    <xf numFmtId="0" fontId="0" fillId="0" borderId="0" xfId="0" applyBorder="1" applyAlignment="1">
      <alignment wrapText="1"/>
    </xf>
    <xf numFmtId="0" fontId="0" fillId="0" borderId="5" xfId="0" applyBorder="1"/>
    <xf numFmtId="14" fontId="0" fillId="2" borderId="5" xfId="0" applyNumberFormat="1" applyFill="1" applyBorder="1" applyAlignment="1">
      <alignment horizontal="center" wrapText="1"/>
    </xf>
    <xf numFmtId="0" fontId="10" fillId="0" borderId="7" xfId="1" applyFont="1" applyFill="1" applyBorder="1" applyAlignment="1">
      <alignment vertical="center" wrapText="1"/>
    </xf>
    <xf numFmtId="0" fontId="10" fillId="0" borderId="7" xfId="3" applyFont="1" applyFill="1" applyBorder="1" applyAlignment="1">
      <alignment horizontal="left" vertical="center"/>
    </xf>
    <xf numFmtId="0" fontId="10" fillId="0" borderId="7" xfId="1" applyFont="1" applyBorder="1" applyAlignment="1">
      <alignment vertical="center"/>
    </xf>
    <xf numFmtId="49" fontId="9" fillId="0" borderId="7" xfId="1" applyNumberFormat="1" applyFont="1" applyFill="1" applyBorder="1" applyAlignment="1">
      <alignment horizontal="right" vertical="center"/>
    </xf>
    <xf numFmtId="0" fontId="9" fillId="0" borderId="7" xfId="4" applyFont="1" applyBorder="1" applyAlignment="1">
      <alignment horizontal="left" vertical="center"/>
    </xf>
    <xf numFmtId="2" fontId="0" fillId="0" borderId="5" xfId="0" applyNumberFormat="1" applyBorder="1"/>
    <xf numFmtId="49" fontId="0" fillId="0" borderId="5" xfId="0" applyNumberFormat="1" applyBorder="1"/>
    <xf numFmtId="0" fontId="8" fillId="0" borderId="4" xfId="1" applyFont="1" applyFill="1" applyBorder="1"/>
    <xf numFmtId="1" fontId="8" fillId="0" borderId="4" xfId="1" applyNumberFormat="1" applyFont="1" applyFill="1" applyBorder="1"/>
    <xf numFmtId="0" fontId="16" fillId="0" borderId="0" xfId="0" applyFont="1"/>
    <xf numFmtId="49" fontId="1" fillId="0" borderId="0" xfId="0" applyNumberFormat="1" applyFont="1" applyFill="1" applyBorder="1"/>
    <xf numFmtId="14" fontId="0" fillId="0" borderId="4" xfId="0" applyNumberFormat="1" applyBorder="1"/>
  </cellXfs>
  <cellStyles count="5">
    <cellStyle name="Excel Built-in Normal" xfId="1"/>
    <cellStyle name="Normal" xfId="0" builtinId="0"/>
    <cellStyle name="Normal 12" xfId="2"/>
    <cellStyle name="Normal 3" xfId="3"/>
    <cellStyle name="Normal 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J8" sqref="J8"/>
    </sheetView>
  </sheetViews>
  <sheetFormatPr defaultRowHeight="15" x14ac:dyDescent="0.25"/>
  <cols>
    <col min="1" max="1" width="6.28515625" customWidth="1"/>
    <col min="2" max="2" width="7.28515625" bestFit="1" customWidth="1"/>
    <col min="3" max="3" width="16.5703125" customWidth="1"/>
    <col min="4" max="4" width="45.42578125" bestFit="1" customWidth="1"/>
    <col min="5" max="5" width="24.7109375" bestFit="1" customWidth="1"/>
    <col min="6" max="6" width="6.5703125" bestFit="1" customWidth="1"/>
    <col min="7" max="7" width="19.5703125" bestFit="1" customWidth="1"/>
    <col min="8" max="8" width="14.42578125" bestFit="1" customWidth="1"/>
    <col min="9" max="9" width="10.5703125" bestFit="1" customWidth="1"/>
    <col min="10" max="10" width="25.28515625" bestFit="1" customWidth="1"/>
    <col min="11" max="11" width="7" bestFit="1" customWidth="1"/>
  </cols>
  <sheetData>
    <row r="1" spans="1:12" x14ac:dyDescent="0.25">
      <c r="A1" t="s">
        <v>57</v>
      </c>
    </row>
    <row r="3" spans="1:12" ht="18.75" x14ac:dyDescent="0.3">
      <c r="B3" s="1" t="s">
        <v>0</v>
      </c>
      <c r="C3" s="2"/>
      <c r="D3" s="2"/>
      <c r="E3" s="2"/>
      <c r="F3" s="2"/>
      <c r="G3" s="2"/>
      <c r="H3" s="2"/>
      <c r="I3" s="3"/>
      <c r="J3" s="4"/>
      <c r="K3" s="5"/>
    </row>
    <row r="4" spans="1:12" ht="18.75" x14ac:dyDescent="0.3">
      <c r="B4" s="1" t="s">
        <v>1</v>
      </c>
      <c r="C4" s="2"/>
      <c r="D4" s="2"/>
      <c r="E4" s="2"/>
      <c r="F4" s="2"/>
      <c r="G4" s="2"/>
      <c r="H4" s="2"/>
      <c r="I4" s="3"/>
      <c r="J4" s="4"/>
      <c r="K4" s="5"/>
    </row>
    <row r="5" spans="1:12" ht="23.25" x14ac:dyDescent="0.25">
      <c r="B5" s="6" t="s">
        <v>2</v>
      </c>
      <c r="C5" s="7" t="s">
        <v>58</v>
      </c>
      <c r="D5" s="8" t="s">
        <v>3</v>
      </c>
      <c r="E5" s="7" t="s">
        <v>4</v>
      </c>
      <c r="F5" s="9" t="s">
        <v>5</v>
      </c>
      <c r="G5" s="7" t="s">
        <v>6</v>
      </c>
      <c r="H5" s="7" t="s">
        <v>7</v>
      </c>
      <c r="I5" s="7" t="s">
        <v>8</v>
      </c>
      <c r="J5" s="10"/>
      <c r="K5" s="7" t="s">
        <v>9</v>
      </c>
    </row>
    <row r="6" spans="1:12" ht="31.5" x14ac:dyDescent="0.25">
      <c r="B6" s="11">
        <v>1</v>
      </c>
      <c r="C6" s="12">
        <v>45190</v>
      </c>
      <c r="D6" s="13" t="s">
        <v>10</v>
      </c>
      <c r="E6" s="14" t="s">
        <v>11</v>
      </c>
      <c r="F6" s="15"/>
      <c r="G6" s="16" t="s">
        <v>12</v>
      </c>
      <c r="H6" s="17" t="s">
        <v>13</v>
      </c>
      <c r="I6" s="18">
        <v>2390</v>
      </c>
      <c r="J6" s="19" t="s">
        <v>14</v>
      </c>
      <c r="K6" s="20" t="s">
        <v>15</v>
      </c>
    </row>
    <row r="7" spans="1:12" ht="45" x14ac:dyDescent="0.25">
      <c r="A7" s="21"/>
      <c r="B7" s="11">
        <v>2</v>
      </c>
      <c r="C7" s="12">
        <v>45190</v>
      </c>
      <c r="D7" s="22" t="s">
        <v>16</v>
      </c>
      <c r="E7" s="23" t="s">
        <v>17</v>
      </c>
      <c r="F7" s="24"/>
      <c r="G7" s="25">
        <v>338001010250066</v>
      </c>
      <c r="H7" s="26" t="s">
        <v>18</v>
      </c>
      <c r="I7" s="27">
        <v>4700</v>
      </c>
      <c r="J7" s="19" t="s">
        <v>19</v>
      </c>
      <c r="K7" s="20" t="s">
        <v>15</v>
      </c>
      <c r="L7" s="21"/>
    </row>
    <row r="8" spans="1:12" s="21" customFormat="1" ht="47.25" x14ac:dyDescent="0.25">
      <c r="B8" s="28">
        <v>3</v>
      </c>
      <c r="C8" s="12">
        <v>45190</v>
      </c>
      <c r="D8" s="29" t="s">
        <v>20</v>
      </c>
      <c r="E8" s="30" t="s">
        <v>21</v>
      </c>
      <c r="F8" s="31"/>
      <c r="G8" s="32" t="s">
        <v>22</v>
      </c>
      <c r="H8" s="31" t="s">
        <v>23</v>
      </c>
      <c r="I8" s="27">
        <v>38527</v>
      </c>
      <c r="J8" s="33" t="s">
        <v>24</v>
      </c>
      <c r="K8" s="20" t="s">
        <v>15</v>
      </c>
    </row>
    <row r="9" spans="1:12" ht="15.75" x14ac:dyDescent="0.25">
      <c r="B9" s="5"/>
      <c r="C9" s="12"/>
      <c r="D9" s="34" t="s">
        <v>25</v>
      </c>
      <c r="E9" s="35"/>
      <c r="F9" s="36"/>
      <c r="G9" s="37"/>
      <c r="H9" s="36"/>
      <c r="I9" s="38">
        <f>SUM(I6:I8)</f>
        <v>45617</v>
      </c>
      <c r="J9" s="5"/>
      <c r="K9" s="39"/>
    </row>
    <row r="10" spans="1:12" ht="15.75" x14ac:dyDescent="0.25">
      <c r="B10" s="21"/>
      <c r="C10" s="40"/>
      <c r="D10" s="41"/>
      <c r="E10" s="42"/>
      <c r="F10" s="41"/>
      <c r="G10" s="43"/>
      <c r="H10" s="41"/>
      <c r="I10" s="44"/>
      <c r="J10" s="21"/>
      <c r="K10" s="45"/>
    </row>
    <row r="11" spans="1:12" ht="60" x14ac:dyDescent="0.25">
      <c r="B11" s="5">
        <v>1</v>
      </c>
      <c r="C11" s="12">
        <v>45190</v>
      </c>
      <c r="D11" s="46" t="s">
        <v>26</v>
      </c>
      <c r="E11" s="47" t="s">
        <v>27</v>
      </c>
      <c r="F11" s="48"/>
      <c r="G11" s="49">
        <v>10396802055</v>
      </c>
      <c r="H11" s="50" t="s">
        <v>28</v>
      </c>
      <c r="I11" s="51">
        <v>42</v>
      </c>
      <c r="J11" s="19" t="s">
        <v>29</v>
      </c>
      <c r="K11" s="39" t="s">
        <v>30</v>
      </c>
    </row>
    <row r="12" spans="1:12" ht="21" customHeight="1" x14ac:dyDescent="0.25">
      <c r="B12" s="5">
        <v>2</v>
      </c>
      <c r="C12" s="12">
        <v>45190</v>
      </c>
      <c r="D12" s="52" t="s">
        <v>31</v>
      </c>
      <c r="E12" s="53" t="s">
        <v>32</v>
      </c>
      <c r="F12" s="54"/>
      <c r="G12" s="53" t="s">
        <v>33</v>
      </c>
      <c r="H12" s="54" t="s">
        <v>34</v>
      </c>
      <c r="I12" s="55">
        <v>822484</v>
      </c>
      <c r="J12" s="19" t="s">
        <v>35</v>
      </c>
      <c r="K12" s="39" t="s">
        <v>36</v>
      </c>
    </row>
    <row r="13" spans="1:12" ht="15.75" x14ac:dyDescent="0.25">
      <c r="A13" s="21"/>
      <c r="B13" s="21"/>
      <c r="C13" s="56" t="s">
        <v>37</v>
      </c>
      <c r="D13" s="57"/>
      <c r="E13" s="58"/>
      <c r="F13" s="41"/>
      <c r="G13" s="43"/>
      <c r="H13" s="41"/>
      <c r="I13" s="44"/>
      <c r="J13" s="59"/>
      <c r="K13" s="45"/>
      <c r="L13" s="21"/>
    </row>
    <row r="14" spans="1:12" ht="28.5" customHeight="1" x14ac:dyDescent="0.25">
      <c r="A14" s="21"/>
      <c r="B14" s="60">
        <v>1</v>
      </c>
      <c r="C14" s="61">
        <v>45190</v>
      </c>
      <c r="D14" s="62" t="s">
        <v>38</v>
      </c>
      <c r="E14" s="63" t="s">
        <v>39</v>
      </c>
      <c r="F14" s="64"/>
      <c r="G14" s="65" t="s">
        <v>40</v>
      </c>
      <c r="H14" s="66" t="s">
        <v>41</v>
      </c>
      <c r="I14" s="67" t="s">
        <v>42</v>
      </c>
      <c r="J14" s="60" t="s">
        <v>43</v>
      </c>
      <c r="K14" s="68" t="s">
        <v>44</v>
      </c>
      <c r="L14" s="21"/>
    </row>
    <row r="15" spans="1:12" x14ac:dyDescent="0.25">
      <c r="B15" s="5">
        <v>2</v>
      </c>
      <c r="C15" s="12">
        <v>45190</v>
      </c>
      <c r="D15" s="69" t="s">
        <v>45</v>
      </c>
      <c r="E15" s="69" t="s">
        <v>46</v>
      </c>
      <c r="F15" s="69"/>
      <c r="G15" s="70">
        <v>512020010020305</v>
      </c>
      <c r="H15" s="69" t="s">
        <v>47</v>
      </c>
      <c r="I15" s="5" t="s">
        <v>48</v>
      </c>
      <c r="J15" s="5" t="s">
        <v>49</v>
      </c>
      <c r="K15" s="5">
        <v>920092</v>
      </c>
    </row>
    <row r="16" spans="1:12" ht="17.25" x14ac:dyDescent="0.3">
      <c r="A16" s="21"/>
      <c r="D16" s="71" t="s">
        <v>50</v>
      </c>
      <c r="E16" s="21"/>
      <c r="J16" s="21"/>
      <c r="K16" s="72"/>
    </row>
    <row r="17" spans="2:11" x14ac:dyDescent="0.25">
      <c r="B17" s="5">
        <v>1</v>
      </c>
      <c r="C17" s="73">
        <v>45190</v>
      </c>
      <c r="D17" s="5" t="s">
        <v>51</v>
      </c>
      <c r="E17" s="5" t="s">
        <v>52</v>
      </c>
      <c r="F17" s="5"/>
      <c r="G17" s="39" t="s">
        <v>53</v>
      </c>
      <c r="H17" s="5" t="s">
        <v>54</v>
      </c>
      <c r="I17" s="5">
        <v>143850</v>
      </c>
      <c r="J17" s="5" t="s">
        <v>55</v>
      </c>
      <c r="K17" s="39" t="s">
        <v>56</v>
      </c>
    </row>
    <row r="18" spans="2:11" x14ac:dyDescent="0.25">
      <c r="B18" s="5"/>
      <c r="C18" s="12"/>
      <c r="D18" s="5"/>
      <c r="E18" s="5"/>
      <c r="F18" s="5"/>
      <c r="G18" s="39"/>
      <c r="H18" s="5"/>
      <c r="I18" s="5"/>
      <c r="J18" s="5"/>
      <c r="K18" s="5"/>
    </row>
  </sheetData>
  <mergeCells count="2">
    <mergeCell ref="B3:I3"/>
    <mergeCell ref="B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2023-09-29T04:09:58Z</dcterms:created>
  <dcterms:modified xsi:type="dcterms:W3CDTF">2023-09-29T04:11:12Z</dcterms:modified>
</cp:coreProperties>
</file>